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cfloridabank-my.sharepoint.com/personal/gmazoni_bradescobank_com/Documents/Desktop/Applications/Structured_Notes_Dashboard/"/>
    </mc:Choice>
  </mc:AlternateContent>
  <xr:revisionPtr revIDLastSave="423" documentId="13_ncr:1_{75BDAC55-7D37-40CC-96F5-5BF1D8444648}" xr6:coauthVersionLast="47" xr6:coauthVersionMax="47" xr10:uidLastSave="{BC968878-33EA-49F0-AD0B-127293C833FC}"/>
  <bookViews>
    <workbookView xWindow="14565" yWindow="-16680" windowWidth="29040" windowHeight="15720" xr2:uid="{CFEFEEAF-00C2-47B7-9077-AA511B08A24B}"/>
  </bookViews>
  <sheets>
    <sheet name="Sheet1" sheetId="1" r:id="rId1"/>
  </sheets>
  <definedNames>
    <definedName name="_xlnm._FilterDatabase" localSheetId="0" hidden="1">Sheet1!$A$1:$P$98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8" i="1" l="1"/>
  <c r="L98" i="1"/>
  <c r="N97" i="1" l="1"/>
  <c r="L97" i="1"/>
</calcChain>
</file>

<file path=xl/sharedStrings.xml><?xml version="1.0" encoding="utf-8"?>
<sst xmlns="http://schemas.openxmlformats.org/spreadsheetml/2006/main" count="935" uniqueCount="365">
  <si>
    <t>Note</t>
  </si>
  <si>
    <t>Strutcutre</t>
  </si>
  <si>
    <t>Isin</t>
  </si>
  <si>
    <t>Issuer</t>
  </si>
  <si>
    <t>Trade Date</t>
  </si>
  <si>
    <t>Settle Date</t>
  </si>
  <si>
    <t>Volume</t>
  </si>
  <si>
    <t>Fee</t>
  </si>
  <si>
    <t>Fee $</t>
  </si>
  <si>
    <t>Driver</t>
  </si>
  <si>
    <t>TS/PS</t>
  </si>
  <si>
    <t>Steerco</t>
  </si>
  <si>
    <t>SN_2025_0001</t>
  </si>
  <si>
    <t>2-Year Memory Phoenix Autocall  NVDA</t>
  </si>
  <si>
    <t>XS3157072268</t>
  </si>
  <si>
    <t>Citibank</t>
  </si>
  <si>
    <t>Calendar</t>
  </si>
  <si>
    <t>SN_2025_0002</t>
  </si>
  <si>
    <t>DRA 10Y CMT</t>
  </si>
  <si>
    <t>XS3233950552</t>
  </si>
  <si>
    <t>JPM</t>
  </si>
  <si>
    <t>Investments</t>
  </si>
  <si>
    <t>SN_2025_0003</t>
  </si>
  <si>
    <t>5Y CLN Goodyear - 7%</t>
  </si>
  <si>
    <t>XS3289053533</t>
  </si>
  <si>
    <t>Bradesco</t>
  </si>
  <si>
    <t>Banker/Investor</t>
  </si>
  <si>
    <t>Investor</t>
  </si>
  <si>
    <t>SN_2025_0004</t>
  </si>
  <si>
    <t>2-Year Memory Phoenix Autocall Costco/Amazon/AAPL</t>
  </si>
  <si>
    <t>XS3250117770</t>
  </si>
  <si>
    <t>BBVA</t>
  </si>
  <si>
    <t>SN_2025_0005</t>
  </si>
  <si>
    <t>2-Year Memory Phoenix Autocall MSFT/AAPL</t>
  </si>
  <si>
    <t>XS3250117853</t>
  </si>
  <si>
    <t>SN_2025_0006</t>
  </si>
  <si>
    <t>2-Year Memory Phoenix Autocall MELI / AMZN</t>
  </si>
  <si>
    <t>XS3250117937</t>
  </si>
  <si>
    <t>SN_2025_0007</t>
  </si>
  <si>
    <t xml:space="preserve">10YNC1 CLN on HSBC </t>
  </si>
  <si>
    <t>XS3233948143</t>
  </si>
  <si>
    <t>Banker</t>
  </si>
  <si>
    <t>SN_2025_0008</t>
  </si>
  <si>
    <t>2-Year Memory Phoenix Autocall UNH / PFE / MRK</t>
  </si>
  <si>
    <t>XS3250134197</t>
  </si>
  <si>
    <t>SN_2025_0009</t>
  </si>
  <si>
    <t>5Y CLN Petroleos Mexicanos - 7.04%</t>
  </si>
  <si>
    <t>XS3291867417</t>
  </si>
  <si>
    <t>SN_2025_0010</t>
  </si>
  <si>
    <t>5Y CLN Goodyear Tire &amp; Rubber Co/The - 7.13%</t>
  </si>
  <si>
    <t>XS3291866955</t>
  </si>
  <si>
    <t>SN_2025_0011</t>
  </si>
  <si>
    <t>5Y CLN Ford Motor Co - 6.03%</t>
  </si>
  <si>
    <t>XS3291867094</t>
  </si>
  <si>
    <t>SN_2025_0012</t>
  </si>
  <si>
    <t>5Y CLN Petroleo Brasileiro Sa - Petrobras - 5.90%</t>
  </si>
  <si>
    <t>XS3291867177</t>
  </si>
  <si>
    <t>SN_2025_0013</t>
  </si>
  <si>
    <t>5Y CLN Federative Republic Of Brazil - 5.78%</t>
  </si>
  <si>
    <t>XS3291867250</t>
  </si>
  <si>
    <t>SN_2025_0014</t>
  </si>
  <si>
    <t>XS3158301765</t>
  </si>
  <si>
    <t>SN_2025_0015</t>
  </si>
  <si>
    <t>XS3114881124</t>
  </si>
  <si>
    <t>SN_2025_0016</t>
  </si>
  <si>
    <t>5Y CLN JAGUAR LAND ROVER AUTOMOTIVE PLC - 6.89%</t>
  </si>
  <si>
    <t>XS3293780717</t>
  </si>
  <si>
    <t>SN_2025_0017</t>
  </si>
  <si>
    <t>5Y CLN STELLANTIS NV - 5.99%</t>
  </si>
  <si>
    <t>XS3293780477</t>
  </si>
  <si>
    <t>SN_2025_0018</t>
  </si>
  <si>
    <t>5Y CLN DXC TECHNOLOGY CO - 5.96%</t>
  </si>
  <si>
    <t>XS3293780634</t>
  </si>
  <si>
    <t>SN_2025_0019</t>
  </si>
  <si>
    <t>5Y CLN BOMBARDIER INC-5.59%</t>
  </si>
  <si>
    <t>XS3293780550</t>
  </si>
  <si>
    <t>SN_2025_0020</t>
  </si>
  <si>
    <t>5Y CLN GENERAL MOTORS CO - 5.55%</t>
  </si>
  <si>
    <t>XS3293780394</t>
  </si>
  <si>
    <t>SN_2025_0021</t>
  </si>
  <si>
    <t>10YNC1 CLN on HSBC SUB</t>
  </si>
  <si>
    <t>XS3136486480</t>
  </si>
  <si>
    <t>SN_2025_0022</t>
  </si>
  <si>
    <t>2-Year Memory Phoenix Autocall GS  – UBSG SE - JPM</t>
  </si>
  <si>
    <t>XS3242371600</t>
  </si>
  <si>
    <t>Santander</t>
  </si>
  <si>
    <t>SN_2025_0023</t>
  </si>
  <si>
    <t>10YNC CLN BRAZIL StepDown</t>
  </si>
  <si>
    <t>XS3236541820</t>
  </si>
  <si>
    <t>SN_2025_0024</t>
  </si>
  <si>
    <t>BBVA Gold Shield Index 114.5% Participation</t>
  </si>
  <si>
    <t>XS3260507689</t>
  </si>
  <si>
    <t>SN_2025_0025</t>
  </si>
  <si>
    <t>5Y CLN Goodyear Tire &amp; Rubber Co/The - 7.06% Bullet</t>
  </si>
  <si>
    <t>XS3293863414</t>
  </si>
  <si>
    <t>SN_2025_0026</t>
  </si>
  <si>
    <t>2-Year Gold (GLD) 100% Participation / 100%PPN</t>
  </si>
  <si>
    <t>US46660JUM25</t>
  </si>
  <si>
    <t>SN_2025_0027</t>
  </si>
  <si>
    <t>XS3260432144</t>
  </si>
  <si>
    <t>SN_2025_0028</t>
  </si>
  <si>
    <t>XS3159063265</t>
  </si>
  <si>
    <t>SN_2025_0029</t>
  </si>
  <si>
    <t>2-Year Gold (GLD)/SLV 100% Participation / 90%PPN</t>
  </si>
  <si>
    <t>XS3152554146</t>
  </si>
  <si>
    <t>SN_2025_0030</t>
  </si>
  <si>
    <t>5Y CLN FORD Motor Co - 5.55%</t>
  </si>
  <si>
    <t>XS3260434272</t>
  </si>
  <si>
    <t>SN_2025_0031</t>
  </si>
  <si>
    <t>2-Year Bullet Participation GLD US / 80% EKI/ 145.95% CAP</t>
  </si>
  <si>
    <t>XS3158991177</t>
  </si>
  <si>
    <t>SN_2025_0032</t>
  </si>
  <si>
    <t>10Y NC1Y Bullet CLN with HSBC Sub 8.02%</t>
  </si>
  <si>
    <t>XS3136465484</t>
  </si>
  <si>
    <t>SN_2025_0033</t>
  </si>
  <si>
    <t>2-Year Memory Phoenix Autocall  LLY  – PFE - JNJ</t>
  </si>
  <si>
    <t>XS3158822224</t>
  </si>
  <si>
    <t>SN_2025_0034</t>
  </si>
  <si>
    <t>10Y NC1Y Bullet CLN with Oracle 9.4%</t>
  </si>
  <si>
    <t>XS3236530203</t>
  </si>
  <si>
    <t>SN_2025_0035</t>
  </si>
  <si>
    <t>1Y-Year Memory Phoenix Autocall  SLV/GLD</t>
  </si>
  <si>
    <t>XS3287495645</t>
  </si>
  <si>
    <t>SN_2025_0036</t>
  </si>
  <si>
    <t xml:space="preserve">3-Year NC1 Memory Phoenix Autocall MQUSLVA </t>
  </si>
  <si>
    <t>XS3299573736</t>
  </si>
  <si>
    <t>SN_2025_0037</t>
  </si>
  <si>
    <t>2-Year Gold (GLD)100% Participation / 90%PPN / 31.7% MR</t>
  </si>
  <si>
    <t>XS3299587793</t>
  </si>
  <si>
    <t>SN_2025_0038</t>
  </si>
  <si>
    <t>2-Year Gold (GLD) 100% Participation / 80%PPN /46% MR</t>
  </si>
  <si>
    <t>XS3299588254</t>
  </si>
  <si>
    <t>SN_2025_0039</t>
  </si>
  <si>
    <t>2-Year Lookback Catapult 2M /75% EKI / 1.5x Uncapped/ 8.5 Ac</t>
  </si>
  <si>
    <t>XS3137597764</t>
  </si>
  <si>
    <t>SN_2025_0040</t>
  </si>
  <si>
    <t>3-Y  Bullet Participation SPX /1.5x/ 33.4% Cap/ 70% Geared Put</t>
  </si>
  <si>
    <t>XS3299592363</t>
  </si>
  <si>
    <t>SN_2025_0041</t>
  </si>
  <si>
    <t>XS3299593254</t>
  </si>
  <si>
    <t>SN_2025_0042</t>
  </si>
  <si>
    <t>10YNC1 CLN on Santander Sub - 9.57%</t>
  </si>
  <si>
    <t>XS3137552405</t>
  </si>
  <si>
    <t>SN_2025_0043</t>
  </si>
  <si>
    <t>10YNC1 CLN on Santander Sub - 9.35%</t>
  </si>
  <si>
    <t>XS3137578111</t>
  </si>
  <si>
    <t>SN_2025_0044</t>
  </si>
  <si>
    <t>XS3299596513</t>
  </si>
  <si>
    <t>SN_2025_0045</t>
  </si>
  <si>
    <t>2-Year Memory Phoenix Autocall PPLT 13%</t>
  </si>
  <si>
    <t>XS3163743100</t>
  </si>
  <si>
    <t>SN_2025_0046</t>
  </si>
  <si>
    <t>5Y CLN BRAZIL Semiannual 5.5%</t>
  </si>
  <si>
    <t>XS3353683801</t>
  </si>
  <si>
    <t>SN_2025_0047</t>
  </si>
  <si>
    <t>XS3137508506</t>
  </si>
  <si>
    <t>SN_2025_0048</t>
  </si>
  <si>
    <t>2-Y  Bullet Participation SPX/ NDX/ RTY  - 40% - 90%PPN</t>
  </si>
  <si>
    <t>XS3299597677</t>
  </si>
  <si>
    <t>SN_2025_0049</t>
  </si>
  <si>
    <t>10YNC1 CLN on Santander Sub - 9.25%</t>
  </si>
  <si>
    <t>XS3137504851</t>
  </si>
  <si>
    <t>SN_2025_0050</t>
  </si>
  <si>
    <t>10YNC1 CLN on Santander Sub - 9.3%</t>
  </si>
  <si>
    <t>XS3137470772</t>
  </si>
  <si>
    <t>SN_2025_0051</t>
  </si>
  <si>
    <t>Catapult SPX/NDX 60% EKI</t>
  </si>
  <si>
    <t>XS3299602345</t>
  </si>
  <si>
    <t>SN_2025_0052</t>
  </si>
  <si>
    <t>2Y Bullet Participation SPX, NDX, RTY (WorstOf) 90%ppn -33.1% MR</t>
  </si>
  <si>
    <t>XS3299602428</t>
  </si>
  <si>
    <t>SN_2025_0053</t>
  </si>
  <si>
    <t>3Y Reverse Convertible EWZ / 60%EKI</t>
  </si>
  <si>
    <t>XS3299575277</t>
  </si>
  <si>
    <t>SN_2025_0054</t>
  </si>
  <si>
    <t>XS3137468107</t>
  </si>
  <si>
    <t>SN_2025_0055</t>
  </si>
  <si>
    <t>2Y Bullet Participation JNJ US / PFE US / LLY US (WorstOf) EKI 50%</t>
  </si>
  <si>
    <t>XS3292036467</t>
  </si>
  <si>
    <t>SN_2025_0056</t>
  </si>
  <si>
    <t>2Y Catapult NVDA 70%EKI 30% Cpn</t>
  </si>
  <si>
    <t>XS3164381488</t>
  </si>
  <si>
    <t>SN_2025_0057</t>
  </si>
  <si>
    <t>2-Year Memory Phoenix Autocall AMZN 11.27%</t>
  </si>
  <si>
    <t>XS3164403803</t>
  </si>
  <si>
    <t>SN_2025_0058</t>
  </si>
  <si>
    <t>2Y Catapult Meta 70%EKI 23.5% Cpn</t>
  </si>
  <si>
    <t>XS3164367222</t>
  </si>
  <si>
    <t>SN_2025_0059</t>
  </si>
  <si>
    <t>2Y Memory Phoenix Autocall JNJ US / PFE US / LLY US (WorstOf) EKI 60% 13.5%</t>
  </si>
  <si>
    <t>XS3292036111</t>
  </si>
  <si>
    <t>SN_2025_0060</t>
  </si>
  <si>
    <t>2Y Catapult Mastercard 70%EKI 13.5% Cpn</t>
  </si>
  <si>
    <t>XS3299605876</t>
  </si>
  <si>
    <t>SN_2025_0061</t>
  </si>
  <si>
    <t>2Y Catapult IGV 70%EKI 19.5% Cpn</t>
  </si>
  <si>
    <t>XS3299605363</t>
  </si>
  <si>
    <t>SN_2025_0062</t>
  </si>
  <si>
    <t>2Y Catapult Visa 70%EKI 13% Cpn</t>
  </si>
  <si>
    <t>XS3299605447</t>
  </si>
  <si>
    <t>SN_2025_0063</t>
  </si>
  <si>
    <t>2Y Memory Phoenix Autocall GLD SLV (WorstOf) EKI 60%</t>
  </si>
  <si>
    <t>XS3299605793</t>
  </si>
  <si>
    <t>SN_2025_0064</t>
  </si>
  <si>
    <t>2Y Memory Phoenix Autocall NKE DIS (WorstOf) EKI 60%</t>
  </si>
  <si>
    <t>XS3299605520</t>
  </si>
  <si>
    <t>SN_2025_0065</t>
  </si>
  <si>
    <t>2Y Memory Phoenix Autocall MSFT NFLX (WorstOf) EKI 60%</t>
  </si>
  <si>
    <t>XS3351580249</t>
  </si>
  <si>
    <t>SN_2025_0066</t>
  </si>
  <si>
    <t>2Y Memory Phoenix Autocall JPM, UBS, GS (WorstOf) EKI 60%</t>
  </si>
  <si>
    <t>XS3291992314</t>
  </si>
  <si>
    <t>SN_2025_0067</t>
  </si>
  <si>
    <t>XS3164266895</t>
  </si>
  <si>
    <t>SN_2025_0068</t>
  </si>
  <si>
    <t>2Y Catapult IWM EKI 70% 12.50%</t>
  </si>
  <si>
    <t>XS3351628626</t>
  </si>
  <si>
    <t>SN_2025_0069</t>
  </si>
  <si>
    <t>2Y Catapult XBI EKI 70% 16.50%</t>
  </si>
  <si>
    <t>XS3351628899</t>
  </si>
  <si>
    <t>SN_2025_0070</t>
  </si>
  <si>
    <t>2Y Catapult EEM EKI 70% 14.40%</t>
  </si>
  <si>
    <t>XS3299610447</t>
  </si>
  <si>
    <t>SN_2025_0071</t>
  </si>
  <si>
    <t>2Y Participation Note XLV EKI 70% 25.80%</t>
  </si>
  <si>
    <t>XS3351629194</t>
  </si>
  <si>
    <t>SN_2025_0072</t>
  </si>
  <si>
    <t>2Y Phoenix Memory NIKE / DIS EKI 60% 15.80%</t>
  </si>
  <si>
    <t>XS3351628030</t>
  </si>
  <si>
    <t>SN_2025_0073</t>
  </si>
  <si>
    <t>2Y Phoenix Memory Pfe/ LLY  EKI 60% 12.30%</t>
  </si>
  <si>
    <t>XS3164225784</t>
  </si>
  <si>
    <t>SN_2025_0074</t>
  </si>
  <si>
    <t>2Y Phoenix Memory Amazon/ Apple / Costco EKI 60% 11.90%</t>
  </si>
  <si>
    <t>XS3351628469</t>
  </si>
  <si>
    <t>SN_2025_0075</t>
  </si>
  <si>
    <t>2Y Phoenix Memory NextEra/GE Vernova/Siemens Energy EKI 50% 22.60%</t>
  </si>
  <si>
    <t>XS3351628386</t>
  </si>
  <si>
    <t>SN_2025_0076</t>
  </si>
  <si>
    <t>2Y Phoenix Memory Merck/ Pfizer / United Health EKI 60% 14.10%</t>
  </si>
  <si>
    <t>XS3291989799</t>
  </si>
  <si>
    <t>SN_2025_0077</t>
  </si>
  <si>
    <t>10YNC1 CLN on Santander Sub - 9.20%</t>
  </si>
  <si>
    <t>XS3137441674</t>
  </si>
  <si>
    <t>SN_2025_0078</t>
  </si>
  <si>
    <t>5YNC CLN on ArcelorMittal - 29.51%</t>
  </si>
  <si>
    <t>XS3351637619</t>
  </si>
  <si>
    <t>SN_2025_0079</t>
  </si>
  <si>
    <t>5Y CLN on Ford 1YNC Semmiannual 5.9%</t>
  </si>
  <si>
    <t>XS3351646362</t>
  </si>
  <si>
    <t>SN_2025_0080</t>
  </si>
  <si>
    <t>10Y CLN on Petrobras 1YNC 6.9%</t>
  </si>
  <si>
    <t>XS3351659936</t>
  </si>
  <si>
    <t>SN_2025_0081</t>
  </si>
  <si>
    <t>5YNC CLN NC on ArcelorMittal - 29.48%</t>
  </si>
  <si>
    <t>XS3351686582</t>
  </si>
  <si>
    <t>SN_2025_0082</t>
  </si>
  <si>
    <t>5YNC CLN NC on Bayer AG - 27.11%</t>
  </si>
  <si>
    <t>XS3351686665</t>
  </si>
  <si>
    <t>SN_2025_0083</t>
  </si>
  <si>
    <t>5YNC CLN NC on MS - 26.64%</t>
  </si>
  <si>
    <t>XS3351686400</t>
  </si>
  <si>
    <t>SN_2025_0084</t>
  </si>
  <si>
    <t>5YNC CLN NC on GS - 26.59%</t>
  </si>
  <si>
    <t>XS3351686822</t>
  </si>
  <si>
    <t>SN_2025_0085</t>
  </si>
  <si>
    <t>2Y Catapult SLV US 60%EKI / 1.5x/ 29% Cpn</t>
  </si>
  <si>
    <t>SN_2025_0086</t>
  </si>
  <si>
    <t>2Y Memory Phoenix Autocall APPL, COSTCO, AMZN (WorstOf) EKI 60%</t>
  </si>
  <si>
    <t xml:space="preserve">XS3351702611 </t>
  </si>
  <si>
    <t>SN_2025_0087</t>
  </si>
  <si>
    <t>XS3165126312</t>
  </si>
  <si>
    <t>XS3299614860</t>
  </si>
  <si>
    <t>SN_2025_0088</t>
  </si>
  <si>
    <t>SN_2025_0089</t>
  </si>
  <si>
    <t>2Y Memory Phoenix Autocall MerQube US Tech+ Advantage EKI 70% 9NC</t>
  </si>
  <si>
    <t>XS3299615164</t>
  </si>
  <si>
    <t>SN_2025_0090</t>
  </si>
  <si>
    <t>2Y Phoenix Memory NIKE / DIS EKI 50% 12.2%</t>
  </si>
  <si>
    <t>XS3164872114</t>
  </si>
  <si>
    <t>SN_2025_0091</t>
  </si>
  <si>
    <t>2Y Phoenix Memory Pfe/ LLY  EKI 60% 13.10%</t>
  </si>
  <si>
    <t xml:space="preserve">XS3164868278 </t>
  </si>
  <si>
    <t>SN_2025_0092</t>
  </si>
  <si>
    <t>2Y Phoenix Memory GS/UBS EKI 60% 11.40%</t>
  </si>
  <si>
    <t xml:space="preserve">XS3164859012 </t>
  </si>
  <si>
    <t>SN_2025_0093</t>
  </si>
  <si>
    <t>2Y Phoenix Memory GE/CAT EKI 50% 12.20%</t>
  </si>
  <si>
    <t xml:space="preserve">XS3164862156  </t>
  </si>
  <si>
    <t>XS3164969118</t>
  </si>
  <si>
    <t>SN_2025_0094</t>
  </si>
  <si>
    <t>5Y CLN Brazil Bullet</t>
  </si>
  <si>
    <t>SN_2025_0095</t>
  </si>
  <si>
    <t>5Y CLN Petrobras Bullet</t>
  </si>
  <si>
    <t>SN_2025_0096</t>
  </si>
  <si>
    <t>2Y Phoenix Memory JNJ NOW UNH EKI 50% 21%</t>
  </si>
  <si>
    <t>Sub Asset Class</t>
  </si>
  <si>
    <t>High Yield</t>
  </si>
  <si>
    <t>Global Fixed Income</t>
  </si>
  <si>
    <t>Emerging Markets Bonds</t>
  </si>
  <si>
    <t>Investment Grade</t>
  </si>
  <si>
    <t>US Equities</t>
  </si>
  <si>
    <t>Emerging Markets Equities</t>
  </si>
  <si>
    <t>Commodities</t>
  </si>
  <si>
    <t>Callable DRA linked to 10y CMT</t>
  </si>
  <si>
    <t>SN_2025_0097</t>
  </si>
  <si>
    <t>5Y 1YNC CLN BNP (Sub)  Bullet</t>
  </si>
  <si>
    <t>Underlying 1</t>
  </si>
  <si>
    <t>Underlying 2</t>
  </si>
  <si>
    <t>Underlying 3</t>
  </si>
  <si>
    <t>US Treasury</t>
  </si>
  <si>
    <t>HSBC</t>
  </si>
  <si>
    <t>Goodyear</t>
  </si>
  <si>
    <t>Petrobras</t>
  </si>
  <si>
    <t>Brazil</t>
  </si>
  <si>
    <t>Oracle</t>
  </si>
  <si>
    <t>Costco</t>
  </si>
  <si>
    <t>Nvidia</t>
  </si>
  <si>
    <t>Amazon</t>
  </si>
  <si>
    <t>Apple</t>
  </si>
  <si>
    <t>Microsoft</t>
  </si>
  <si>
    <t>Meli</t>
  </si>
  <si>
    <t>Stellantis</t>
  </si>
  <si>
    <t>Bombardier</t>
  </si>
  <si>
    <t>United Health</t>
  </si>
  <si>
    <t>Pfizer</t>
  </si>
  <si>
    <t>Merck</t>
  </si>
  <si>
    <t>Petroleos Mexicanos</t>
  </si>
  <si>
    <t>Ford Motor</t>
  </si>
  <si>
    <t>Jaguar</t>
  </si>
  <si>
    <t>DXC Tech</t>
  </si>
  <si>
    <t>General Motors</t>
  </si>
  <si>
    <t>Goldman Sachs</t>
  </si>
  <si>
    <t>UBS</t>
  </si>
  <si>
    <t>JP Morgan</t>
  </si>
  <si>
    <t>Gold</t>
  </si>
  <si>
    <t>S&amp;P</t>
  </si>
  <si>
    <t>Silver</t>
  </si>
  <si>
    <t>Lilly</t>
  </si>
  <si>
    <t>Johnson &amp; Johnson</t>
  </si>
  <si>
    <t>Nasdaq</t>
  </si>
  <si>
    <t>EWZ</t>
  </si>
  <si>
    <t>Platinum</t>
  </si>
  <si>
    <t>Russel 2000</t>
  </si>
  <si>
    <t>Jhonson &amp; Jhonson</t>
  </si>
  <si>
    <t>Meta</t>
  </si>
  <si>
    <t>Mastercard</t>
  </si>
  <si>
    <t>IGV</t>
  </si>
  <si>
    <t>Visa</t>
  </si>
  <si>
    <t>Nike</t>
  </si>
  <si>
    <t>Disney</t>
  </si>
  <si>
    <t>Netflix</t>
  </si>
  <si>
    <t>MSCI Emerging Markets</t>
  </si>
  <si>
    <t>S&amp;P Biotech</t>
  </si>
  <si>
    <t>Healthcare Index</t>
  </si>
  <si>
    <t>NextEra</t>
  </si>
  <si>
    <t>GE Vernova</t>
  </si>
  <si>
    <t>Siemens Energy</t>
  </si>
  <si>
    <t>Arcelor Mittal</t>
  </si>
  <si>
    <t>Bayer AG</t>
  </si>
  <si>
    <t>Morgan Stanley</t>
  </si>
  <si>
    <t>General Eletric</t>
  </si>
  <si>
    <t>Caterpillar</t>
  </si>
  <si>
    <t>Now</t>
  </si>
  <si>
    <t>BNP Paribas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</si>
</sst>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/>
    <xf numFmtId="14" fontId="0" fillId="3" borderId="2" xfId="0" applyNumberFormat="1" applyFill="1" applyBorder="1" applyAlignment="1">
      <alignment horizontal="center"/>
    </xf>
    <xf numFmtId="10" fontId="0" fillId="3" borderId="2" xfId="0" applyNumberFormat="1" applyFill="1" applyBorder="1" applyAlignment="1">
      <alignment horizontal="center"/>
    </xf>
    <xf numFmtId="8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0" borderId="0" xfId="0" applyNumberFormat="1"/>
    <xf numFmtId="44" fontId="0" fillId="0" borderId="0" xfId="2" applyFont="1"/>
    <xf numFmtId="10" fontId="0" fillId="0" borderId="0" xfId="3" applyNumberFormat="1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top"/>
    </xf>
    <xf numFmtId="0" fontId="5" fillId="0" borderId="0" xfId="0" applyFont="1"/>
    <xf numFmtId="0" fontId="0" fillId="4" borderId="1" xfId="0" applyFill="1" applyBorder="1" applyAlignment="1">
      <alignment vertical="center"/>
    </xf>
    <xf numFmtId="0" fontId="0" fillId="4" borderId="2" xfId="0" applyFill="1" applyBorder="1"/>
    <xf numFmtId="14" fontId="0" fillId="4" borderId="2" xfId="0" applyNumberFormat="1" applyFill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8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2" xfId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/>
    <xf numFmtId="44" fontId="0" fillId="0" borderId="2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/>
    </xf>
    <xf numFmtId="44" fontId="0" fillId="3" borderId="2" xfId="2" applyFont="1" applyFill="1" applyBorder="1" applyAlignment="1">
      <alignment horizontal="center"/>
    </xf>
    <xf numFmtId="44" fontId="0" fillId="4" borderId="2" xfId="2" applyFont="1" applyFill="1" applyBorder="1" applyAlignment="1">
      <alignment horizontal="center"/>
    </xf>
    <xf numFmtId="0" fontId="0" fillId="0" borderId="0" xfId="0" applyFill="1" applyBorder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2202-7204-4F9C-BAE9-8AFC9F55925A}">
  <dimension ref="A1:T103"/>
  <sheetViews>
    <sheetView tabSelected="1" topLeftCell="A35" workbookViewId="0">
      <selection activeCell="B40" sqref="B40"/>
    </sheetView>
  </sheetViews>
  <sheetFormatPr defaultRowHeight="14.5" x14ac:dyDescent="0.35"/>
  <cols>
    <col min="1" max="1" width="12.7265625" bestFit="1" customWidth="1"/>
    <col min="2" max="2" width="66.54296875" bestFit="1" customWidth="1"/>
    <col min="3" max="3" width="19" customWidth="1"/>
    <col min="4" max="4" width="20.54296875" customWidth="1"/>
    <col min="5" max="5" width="18.1796875" customWidth="1"/>
    <col min="6" max="6" width="13.6328125" bestFit="1" customWidth="1"/>
    <col min="7" max="7" width="9.7265625" customWidth="1"/>
    <col min="8" max="8" width="10.1796875" bestFit="1" customWidth="1"/>
    <col min="9" max="9" width="10.6328125" bestFit="1" customWidth="1"/>
    <col min="10" max="10" width="13.81640625" bestFit="1" customWidth="1"/>
    <col min="11" max="11" width="5.90625" bestFit="1" customWidth="1"/>
    <col min="12" max="12" width="11.54296875" bestFit="1" customWidth="1"/>
    <col min="13" max="13" width="14.26953125" bestFit="1" customWidth="1"/>
    <col min="14" max="14" width="13.6328125" bestFit="1" customWidth="1"/>
    <col min="15" max="15" width="13" customWidth="1"/>
    <col min="16" max="16" width="18.453125" customWidth="1"/>
    <col min="19" max="19" width="18.54296875" bestFit="1" customWidth="1"/>
    <col min="20" max="20" width="32.26953125" bestFit="1" customWidth="1"/>
  </cols>
  <sheetData>
    <row r="1" spans="1:20" x14ac:dyDescent="0.35">
      <c r="A1" s="1" t="s">
        <v>0</v>
      </c>
      <c r="B1" s="2" t="s">
        <v>1</v>
      </c>
      <c r="C1" s="2" t="s">
        <v>307</v>
      </c>
      <c r="D1" s="2" t="s">
        <v>308</v>
      </c>
      <c r="E1" s="2" t="s">
        <v>309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4" t="s">
        <v>11</v>
      </c>
      <c r="P1" s="32" t="s">
        <v>296</v>
      </c>
      <c r="S1" s="34"/>
      <c r="T1" s="34"/>
    </row>
    <row r="2" spans="1:20" x14ac:dyDescent="0.35">
      <c r="A2" s="5" t="s">
        <v>12</v>
      </c>
      <c r="B2" s="6" t="s">
        <v>13</v>
      </c>
      <c r="C2" s="6" t="s">
        <v>317</v>
      </c>
      <c r="D2" s="6"/>
      <c r="E2" s="6"/>
      <c r="F2" s="6" t="s">
        <v>14</v>
      </c>
      <c r="G2" s="6" t="s">
        <v>15</v>
      </c>
      <c r="H2" s="7">
        <v>46030</v>
      </c>
      <c r="I2" s="7">
        <v>46037</v>
      </c>
      <c r="J2" s="45">
        <v>100000</v>
      </c>
      <c r="K2" s="8">
        <v>1.7500000000000002E-2</v>
      </c>
      <c r="L2" s="9">
        <v>1750.0000000000002</v>
      </c>
      <c r="M2" s="10" t="s">
        <v>16</v>
      </c>
      <c r="N2" s="11" t="s">
        <v>14</v>
      </c>
      <c r="O2" s="12" t="s">
        <v>16</v>
      </c>
      <c r="P2" t="s">
        <v>301</v>
      </c>
    </row>
    <row r="3" spans="1:20" x14ac:dyDescent="0.35">
      <c r="A3" s="5" t="s">
        <v>17</v>
      </c>
      <c r="B3" s="6" t="s">
        <v>18</v>
      </c>
      <c r="C3" s="6" t="s">
        <v>310</v>
      </c>
      <c r="D3" s="6"/>
      <c r="E3" s="6"/>
      <c r="F3" s="6" t="s">
        <v>19</v>
      </c>
      <c r="G3" s="6" t="s">
        <v>20</v>
      </c>
      <c r="H3" s="7">
        <v>46045</v>
      </c>
      <c r="I3" s="7">
        <v>46051</v>
      </c>
      <c r="J3" s="45">
        <v>500000</v>
      </c>
      <c r="K3" s="8">
        <v>0.02</v>
      </c>
      <c r="L3" s="9">
        <v>10000</v>
      </c>
      <c r="M3" s="10" t="s">
        <v>21</v>
      </c>
      <c r="N3" s="11" t="s">
        <v>19</v>
      </c>
      <c r="O3" s="12" t="s">
        <v>21</v>
      </c>
      <c r="P3" t="s">
        <v>300</v>
      </c>
    </row>
    <row r="4" spans="1:20" x14ac:dyDescent="0.35">
      <c r="A4" s="5" t="s">
        <v>22</v>
      </c>
      <c r="B4" s="13" t="s">
        <v>23</v>
      </c>
      <c r="C4" s="13" t="s">
        <v>312</v>
      </c>
      <c r="D4" s="13"/>
      <c r="E4" s="13"/>
      <c r="F4" s="13" t="s">
        <v>24</v>
      </c>
      <c r="G4" s="13" t="s">
        <v>25</v>
      </c>
      <c r="H4" s="14">
        <v>46048</v>
      </c>
      <c r="I4" s="14">
        <v>46083</v>
      </c>
      <c r="J4" s="46">
        <v>1000000</v>
      </c>
      <c r="K4" s="16">
        <v>1.4999999999999999E-2</v>
      </c>
      <c r="L4" s="17">
        <v>15000</v>
      </c>
      <c r="M4" s="18" t="s">
        <v>26</v>
      </c>
      <c r="N4" s="11" t="s">
        <v>24</v>
      </c>
      <c r="O4" s="19" t="s">
        <v>27</v>
      </c>
      <c r="P4" t="s">
        <v>297</v>
      </c>
    </row>
    <row r="5" spans="1:20" x14ac:dyDescent="0.35">
      <c r="A5" s="5" t="s">
        <v>28</v>
      </c>
      <c r="B5" s="6" t="s">
        <v>29</v>
      </c>
      <c r="C5" s="6" t="s">
        <v>316</v>
      </c>
      <c r="D5" s="6" t="s">
        <v>318</v>
      </c>
      <c r="E5" s="6" t="s">
        <v>319</v>
      </c>
      <c r="F5" s="13" t="s">
        <v>30</v>
      </c>
      <c r="G5" s="13" t="s">
        <v>31</v>
      </c>
      <c r="H5" s="14">
        <v>46049</v>
      </c>
      <c r="I5" s="14">
        <v>46083</v>
      </c>
      <c r="J5" s="46">
        <v>915000</v>
      </c>
      <c r="K5" s="16">
        <v>0.02</v>
      </c>
      <c r="L5" s="17">
        <v>18300</v>
      </c>
      <c r="M5" s="18" t="s">
        <v>26</v>
      </c>
      <c r="N5" s="11" t="s">
        <v>30</v>
      </c>
      <c r="O5" s="19" t="s">
        <v>27</v>
      </c>
      <c r="P5" t="s">
        <v>301</v>
      </c>
    </row>
    <row r="6" spans="1:20" x14ac:dyDescent="0.35">
      <c r="A6" s="5" t="s">
        <v>32</v>
      </c>
      <c r="B6" s="6" t="s">
        <v>33</v>
      </c>
      <c r="C6" s="6" t="s">
        <v>320</v>
      </c>
      <c r="D6" s="6" t="s">
        <v>319</v>
      </c>
      <c r="E6" s="6"/>
      <c r="F6" s="13" t="s">
        <v>34</v>
      </c>
      <c r="G6" s="13" t="s">
        <v>31</v>
      </c>
      <c r="H6" s="14">
        <v>46049</v>
      </c>
      <c r="I6" s="14">
        <v>46083</v>
      </c>
      <c r="J6" s="46">
        <v>1220000</v>
      </c>
      <c r="K6" s="16">
        <v>0.02</v>
      </c>
      <c r="L6" s="17">
        <v>24400</v>
      </c>
      <c r="M6" s="18" t="s">
        <v>26</v>
      </c>
      <c r="N6" s="11" t="s">
        <v>34</v>
      </c>
      <c r="O6" s="19" t="s">
        <v>27</v>
      </c>
      <c r="P6" t="s">
        <v>301</v>
      </c>
    </row>
    <row r="7" spans="1:20" x14ac:dyDescent="0.35">
      <c r="A7" s="5" t="s">
        <v>35</v>
      </c>
      <c r="B7" s="6" t="s">
        <v>36</v>
      </c>
      <c r="C7" s="6" t="s">
        <v>321</v>
      </c>
      <c r="D7" s="6" t="s">
        <v>318</v>
      </c>
      <c r="E7" s="6"/>
      <c r="F7" s="13" t="s">
        <v>37</v>
      </c>
      <c r="G7" s="13" t="s">
        <v>31</v>
      </c>
      <c r="H7" s="14">
        <v>46049</v>
      </c>
      <c r="I7" s="14">
        <v>46083</v>
      </c>
      <c r="J7" s="46">
        <v>1140000</v>
      </c>
      <c r="K7" s="16">
        <v>0.02</v>
      </c>
      <c r="L7" s="17">
        <v>22800</v>
      </c>
      <c r="M7" s="18" t="s">
        <v>26</v>
      </c>
      <c r="N7" s="11" t="s">
        <v>37</v>
      </c>
      <c r="O7" s="19" t="s">
        <v>27</v>
      </c>
      <c r="P7" t="s">
        <v>301</v>
      </c>
    </row>
    <row r="8" spans="1:20" x14ac:dyDescent="0.35">
      <c r="A8" s="20" t="s">
        <v>38</v>
      </c>
      <c r="B8" s="21" t="s">
        <v>39</v>
      </c>
      <c r="C8" s="21" t="s">
        <v>311</v>
      </c>
      <c r="D8" s="21"/>
      <c r="E8" s="21"/>
      <c r="F8" s="22" t="s">
        <v>40</v>
      </c>
      <c r="G8" s="22" t="s">
        <v>20</v>
      </c>
      <c r="H8" s="23">
        <v>46049</v>
      </c>
      <c r="I8" s="23">
        <v>46083</v>
      </c>
      <c r="J8" s="47">
        <v>500000</v>
      </c>
      <c r="K8" s="24">
        <v>0.03</v>
      </c>
      <c r="L8" s="25">
        <v>15000</v>
      </c>
      <c r="M8" s="26" t="s">
        <v>26</v>
      </c>
      <c r="N8" s="27" t="s">
        <v>40</v>
      </c>
      <c r="O8" s="28" t="s">
        <v>41</v>
      </c>
      <c r="P8" t="s">
        <v>298</v>
      </c>
    </row>
    <row r="9" spans="1:20" x14ac:dyDescent="0.35">
      <c r="A9" s="5" t="s">
        <v>42</v>
      </c>
      <c r="B9" s="6" t="s">
        <v>43</v>
      </c>
      <c r="C9" s="6" t="s">
        <v>324</v>
      </c>
      <c r="D9" s="6" t="s">
        <v>325</v>
      </c>
      <c r="E9" s="6" t="s">
        <v>326</v>
      </c>
      <c r="F9" s="13" t="s">
        <v>44</v>
      </c>
      <c r="G9" s="13" t="s">
        <v>31</v>
      </c>
      <c r="H9" s="14">
        <v>46049</v>
      </c>
      <c r="I9" s="14">
        <v>46083</v>
      </c>
      <c r="J9" s="46">
        <v>650000</v>
      </c>
      <c r="K9" s="16">
        <v>0.02</v>
      </c>
      <c r="L9" s="17">
        <v>13000</v>
      </c>
      <c r="M9" s="18" t="s">
        <v>26</v>
      </c>
      <c r="N9" s="11" t="s">
        <v>44</v>
      </c>
      <c r="O9" s="19" t="s">
        <v>27</v>
      </c>
      <c r="P9" t="s">
        <v>301</v>
      </c>
    </row>
    <row r="10" spans="1:20" x14ac:dyDescent="0.35">
      <c r="A10" s="5" t="s">
        <v>45</v>
      </c>
      <c r="B10" s="13" t="s">
        <v>46</v>
      </c>
      <c r="C10" s="13" t="s">
        <v>327</v>
      </c>
      <c r="D10" s="13"/>
      <c r="E10" s="13"/>
      <c r="F10" s="13" t="s">
        <v>47</v>
      </c>
      <c r="G10" s="13" t="s">
        <v>25</v>
      </c>
      <c r="H10" s="14">
        <v>46052</v>
      </c>
      <c r="I10" s="14">
        <v>46062</v>
      </c>
      <c r="J10" s="46">
        <v>200000</v>
      </c>
      <c r="K10" s="16">
        <v>5.0000000000000001E-3</v>
      </c>
      <c r="L10" s="17">
        <v>1000</v>
      </c>
      <c r="M10" s="18" t="s">
        <v>26</v>
      </c>
      <c r="N10" s="11" t="s">
        <v>47</v>
      </c>
      <c r="O10" s="19" t="s">
        <v>41</v>
      </c>
      <c r="P10" t="s">
        <v>299</v>
      </c>
    </row>
    <row r="11" spans="1:20" x14ac:dyDescent="0.35">
      <c r="A11" s="36" t="s">
        <v>48</v>
      </c>
      <c r="B11" s="37" t="s">
        <v>49</v>
      </c>
      <c r="C11" s="37" t="s">
        <v>312</v>
      </c>
      <c r="D11" s="37"/>
      <c r="E11" s="37"/>
      <c r="F11" s="37" t="s">
        <v>50</v>
      </c>
      <c r="G11" s="37" t="s">
        <v>25</v>
      </c>
      <c r="H11" s="38">
        <v>46052</v>
      </c>
      <c r="I11" s="38">
        <v>46062</v>
      </c>
      <c r="J11" s="48">
        <v>200000</v>
      </c>
      <c r="K11" s="39">
        <v>5.0000000000000001E-3</v>
      </c>
      <c r="L11" s="40">
        <v>1000</v>
      </c>
      <c r="M11" s="41" t="s">
        <v>26</v>
      </c>
      <c r="N11" s="42" t="s">
        <v>50</v>
      </c>
      <c r="O11" s="43" t="s">
        <v>41</v>
      </c>
      <c r="P11" s="44" t="s">
        <v>297</v>
      </c>
    </row>
    <row r="12" spans="1:20" x14ac:dyDescent="0.35">
      <c r="A12" s="5" t="s">
        <v>51</v>
      </c>
      <c r="B12" s="13" t="s">
        <v>52</v>
      </c>
      <c r="C12" s="13" t="s">
        <v>328</v>
      </c>
      <c r="D12" s="13"/>
      <c r="E12" s="13"/>
      <c r="F12" s="13" t="s">
        <v>53</v>
      </c>
      <c r="G12" s="13" t="s">
        <v>25</v>
      </c>
      <c r="H12" s="14">
        <v>46052</v>
      </c>
      <c r="I12" s="14">
        <v>46062</v>
      </c>
      <c r="J12" s="46">
        <v>200000</v>
      </c>
      <c r="K12" s="16">
        <v>5.0000000000000001E-3</v>
      </c>
      <c r="L12" s="17">
        <v>1000</v>
      </c>
      <c r="M12" s="18" t="s">
        <v>26</v>
      </c>
      <c r="N12" s="11" t="s">
        <v>53</v>
      </c>
      <c r="O12" s="19" t="s">
        <v>41</v>
      </c>
      <c r="P12" t="s">
        <v>300</v>
      </c>
    </row>
    <row r="13" spans="1:20" x14ac:dyDescent="0.35">
      <c r="A13" s="5" t="s">
        <v>54</v>
      </c>
      <c r="B13" s="13" t="s">
        <v>55</v>
      </c>
      <c r="C13" s="13" t="s">
        <v>313</v>
      </c>
      <c r="D13" s="13"/>
      <c r="E13" s="13"/>
      <c r="F13" s="13" t="s">
        <v>56</v>
      </c>
      <c r="G13" s="13" t="s">
        <v>25</v>
      </c>
      <c r="H13" s="14">
        <v>46052</v>
      </c>
      <c r="I13" s="14">
        <v>46062</v>
      </c>
      <c r="J13" s="46">
        <v>200000</v>
      </c>
      <c r="K13" s="16">
        <v>5.0000000000000001E-3</v>
      </c>
      <c r="L13" s="17">
        <v>1000</v>
      </c>
      <c r="M13" s="18" t="s">
        <v>26</v>
      </c>
      <c r="N13" s="11" t="s">
        <v>56</v>
      </c>
      <c r="O13" s="19" t="s">
        <v>41</v>
      </c>
      <c r="P13" t="s">
        <v>299</v>
      </c>
    </row>
    <row r="14" spans="1:20" x14ac:dyDescent="0.35">
      <c r="A14" s="5" t="s">
        <v>57</v>
      </c>
      <c r="B14" s="13" t="s">
        <v>58</v>
      </c>
      <c r="C14" s="13" t="s">
        <v>314</v>
      </c>
      <c r="D14" s="13"/>
      <c r="E14" s="13"/>
      <c r="F14" s="13" t="s">
        <v>59</v>
      </c>
      <c r="G14" s="13" t="s">
        <v>25</v>
      </c>
      <c r="H14" s="14">
        <v>46052</v>
      </c>
      <c r="I14" s="14">
        <v>46062</v>
      </c>
      <c r="J14" s="46">
        <v>200000</v>
      </c>
      <c r="K14" s="16">
        <v>5.0000000000000001E-3</v>
      </c>
      <c r="L14" s="17">
        <v>1000</v>
      </c>
      <c r="M14" s="18" t="s">
        <v>26</v>
      </c>
      <c r="N14" s="11" t="s">
        <v>59</v>
      </c>
      <c r="O14" s="19" t="s">
        <v>41</v>
      </c>
      <c r="P14" t="s">
        <v>299</v>
      </c>
    </row>
    <row r="15" spans="1:20" x14ac:dyDescent="0.35">
      <c r="A15" s="5" t="s">
        <v>60</v>
      </c>
      <c r="B15" s="6" t="s">
        <v>36</v>
      </c>
      <c r="C15" s="6" t="s">
        <v>321</v>
      </c>
      <c r="D15" s="6" t="s">
        <v>318</v>
      </c>
      <c r="E15" s="6"/>
      <c r="F15" s="13" t="s">
        <v>61</v>
      </c>
      <c r="G15" s="13" t="s">
        <v>15</v>
      </c>
      <c r="H15" s="14">
        <v>46052</v>
      </c>
      <c r="I15" s="14">
        <v>46059</v>
      </c>
      <c r="J15" s="46">
        <v>300000</v>
      </c>
      <c r="K15" s="16">
        <v>0.02</v>
      </c>
      <c r="L15" s="17">
        <v>6000</v>
      </c>
      <c r="M15" s="18" t="s">
        <v>21</v>
      </c>
      <c r="N15" s="11" t="s">
        <v>61</v>
      </c>
      <c r="O15" s="19" t="s">
        <v>27</v>
      </c>
      <c r="P15" t="s">
        <v>301</v>
      </c>
    </row>
    <row r="16" spans="1:20" x14ac:dyDescent="0.35">
      <c r="A16" s="5" t="s">
        <v>62</v>
      </c>
      <c r="B16" s="13" t="s">
        <v>304</v>
      </c>
      <c r="C16" s="13" t="s">
        <v>310</v>
      </c>
      <c r="D16" s="13"/>
      <c r="E16" s="13"/>
      <c r="F16" s="13" t="s">
        <v>63</v>
      </c>
      <c r="G16" s="13" t="s">
        <v>15</v>
      </c>
      <c r="H16" s="14">
        <v>46052</v>
      </c>
      <c r="I16" s="14">
        <v>46062</v>
      </c>
      <c r="J16" s="46">
        <v>100000</v>
      </c>
      <c r="K16" s="16">
        <v>0.03</v>
      </c>
      <c r="L16" s="17">
        <v>3000</v>
      </c>
      <c r="M16" s="18" t="s">
        <v>21</v>
      </c>
      <c r="N16" s="11" t="s">
        <v>63</v>
      </c>
      <c r="O16" s="19" t="s">
        <v>21</v>
      </c>
      <c r="P16" t="s">
        <v>300</v>
      </c>
    </row>
    <row r="17" spans="1:16" x14ac:dyDescent="0.35">
      <c r="A17" s="5" t="s">
        <v>64</v>
      </c>
      <c r="B17" s="13" t="s">
        <v>65</v>
      </c>
      <c r="C17" s="13" t="s">
        <v>329</v>
      </c>
      <c r="D17" s="13"/>
      <c r="E17" s="13"/>
      <c r="F17" s="13" t="s">
        <v>66</v>
      </c>
      <c r="G17" s="13" t="s">
        <v>25</v>
      </c>
      <c r="H17" s="14">
        <v>46055</v>
      </c>
      <c r="I17" s="14">
        <v>46063</v>
      </c>
      <c r="J17" s="46">
        <v>200000</v>
      </c>
      <c r="K17" s="16">
        <v>5.0000000000000001E-3</v>
      </c>
      <c r="L17" s="17">
        <v>1000</v>
      </c>
      <c r="M17" s="18" t="s">
        <v>26</v>
      </c>
      <c r="N17" s="11" t="s">
        <v>66</v>
      </c>
      <c r="O17" s="19" t="s">
        <v>41</v>
      </c>
      <c r="P17" t="s">
        <v>297</v>
      </c>
    </row>
    <row r="18" spans="1:16" x14ac:dyDescent="0.35">
      <c r="A18" s="5" t="s">
        <v>67</v>
      </c>
      <c r="B18" s="13" t="s">
        <v>68</v>
      </c>
      <c r="C18" s="13" t="s">
        <v>322</v>
      </c>
      <c r="D18" s="13"/>
      <c r="E18" s="13"/>
      <c r="F18" s="13" t="s">
        <v>69</v>
      </c>
      <c r="G18" s="13" t="s">
        <v>25</v>
      </c>
      <c r="H18" s="14">
        <v>46055</v>
      </c>
      <c r="I18" s="14">
        <v>46063</v>
      </c>
      <c r="J18" s="46">
        <v>200000</v>
      </c>
      <c r="K18" s="16">
        <v>5.0000000000000001E-3</v>
      </c>
      <c r="L18" s="17">
        <v>1000</v>
      </c>
      <c r="M18" s="18" t="s">
        <v>26</v>
      </c>
      <c r="N18" s="11" t="s">
        <v>69</v>
      </c>
      <c r="O18" s="19" t="s">
        <v>41</v>
      </c>
      <c r="P18" t="s">
        <v>298</v>
      </c>
    </row>
    <row r="19" spans="1:16" x14ac:dyDescent="0.35">
      <c r="A19" s="5" t="s">
        <v>70</v>
      </c>
      <c r="B19" s="13" t="s">
        <v>71</v>
      </c>
      <c r="C19" s="13" t="s">
        <v>330</v>
      </c>
      <c r="D19" s="13"/>
      <c r="E19" s="13"/>
      <c r="F19" s="13" t="s">
        <v>72</v>
      </c>
      <c r="G19" s="13" t="s">
        <v>25</v>
      </c>
      <c r="H19" s="14">
        <v>46055</v>
      </c>
      <c r="I19" s="14">
        <v>46063</v>
      </c>
      <c r="J19" s="46">
        <v>200000</v>
      </c>
      <c r="K19" s="16">
        <v>5.0000000000000001E-3</v>
      </c>
      <c r="L19" s="17">
        <v>1000</v>
      </c>
      <c r="M19" s="18" t="s">
        <v>26</v>
      </c>
      <c r="N19" s="11" t="s">
        <v>72</v>
      </c>
      <c r="O19" s="19" t="s">
        <v>41</v>
      </c>
      <c r="P19" t="s">
        <v>300</v>
      </c>
    </row>
    <row r="20" spans="1:16" x14ac:dyDescent="0.35">
      <c r="A20" s="5" t="s">
        <v>73</v>
      </c>
      <c r="B20" s="13" t="s">
        <v>74</v>
      </c>
      <c r="C20" s="13" t="s">
        <v>323</v>
      </c>
      <c r="D20" s="13"/>
      <c r="E20" s="13"/>
      <c r="F20" s="13" t="s">
        <v>75</v>
      </c>
      <c r="G20" s="13" t="s">
        <v>25</v>
      </c>
      <c r="H20" s="14">
        <v>46055</v>
      </c>
      <c r="I20" s="14">
        <v>46063</v>
      </c>
      <c r="J20" s="46">
        <v>200000</v>
      </c>
      <c r="K20" s="16">
        <v>5.0000000000000001E-3</v>
      </c>
      <c r="L20" s="17">
        <v>1000</v>
      </c>
      <c r="M20" s="18" t="s">
        <v>26</v>
      </c>
      <c r="N20" s="11" t="s">
        <v>75</v>
      </c>
      <c r="O20" s="19" t="s">
        <v>41</v>
      </c>
      <c r="P20" t="s">
        <v>297</v>
      </c>
    </row>
    <row r="21" spans="1:16" x14ac:dyDescent="0.35">
      <c r="A21" s="5" t="s">
        <v>76</v>
      </c>
      <c r="B21" s="13" t="s">
        <v>77</v>
      </c>
      <c r="C21" s="13" t="s">
        <v>331</v>
      </c>
      <c r="D21" s="13"/>
      <c r="E21" s="13"/>
      <c r="F21" s="13" t="s">
        <v>78</v>
      </c>
      <c r="G21" s="13" t="s">
        <v>25</v>
      </c>
      <c r="H21" s="14">
        <v>46055</v>
      </c>
      <c r="I21" s="14">
        <v>46063</v>
      </c>
      <c r="J21" s="46">
        <v>200000</v>
      </c>
      <c r="K21" s="16">
        <v>5.0000000000000001E-3</v>
      </c>
      <c r="L21" s="17">
        <v>1000</v>
      </c>
      <c r="M21" s="18" t="s">
        <v>26</v>
      </c>
      <c r="N21" s="11" t="s">
        <v>78</v>
      </c>
      <c r="O21" s="19" t="s">
        <v>41</v>
      </c>
      <c r="P21" s="35" t="s">
        <v>300</v>
      </c>
    </row>
    <row r="22" spans="1:16" x14ac:dyDescent="0.35">
      <c r="A22" s="5" t="s">
        <v>79</v>
      </c>
      <c r="B22" s="13" t="s">
        <v>80</v>
      </c>
      <c r="C22" s="13" t="s">
        <v>311</v>
      </c>
      <c r="D22" s="13"/>
      <c r="E22" s="13"/>
      <c r="F22" s="13" t="s">
        <v>81</v>
      </c>
      <c r="G22" s="13" t="s">
        <v>15</v>
      </c>
      <c r="H22" s="14">
        <v>46055</v>
      </c>
      <c r="I22" s="14">
        <v>46070</v>
      </c>
      <c r="J22" s="46">
        <v>9377000</v>
      </c>
      <c r="K22" s="16">
        <v>3.5000000000000003E-2</v>
      </c>
      <c r="L22" s="15">
        <v>328195.00000000006</v>
      </c>
      <c r="M22" s="18" t="s">
        <v>26</v>
      </c>
      <c r="N22" s="11" t="s">
        <v>81</v>
      </c>
      <c r="O22" s="19" t="s">
        <v>27</v>
      </c>
      <c r="P22" t="s">
        <v>298</v>
      </c>
    </row>
    <row r="23" spans="1:16" x14ac:dyDescent="0.35">
      <c r="A23" s="5" t="s">
        <v>82</v>
      </c>
      <c r="B23" s="6" t="s">
        <v>83</v>
      </c>
      <c r="C23" s="6" t="s">
        <v>332</v>
      </c>
      <c r="D23" s="6" t="s">
        <v>333</v>
      </c>
      <c r="E23" s="6" t="s">
        <v>334</v>
      </c>
      <c r="F23" s="13" t="s">
        <v>84</v>
      </c>
      <c r="G23" s="13" t="s">
        <v>85</v>
      </c>
      <c r="H23" s="14">
        <v>46055</v>
      </c>
      <c r="I23" s="14">
        <v>46062</v>
      </c>
      <c r="J23" s="46">
        <v>1226000</v>
      </c>
      <c r="K23" s="16">
        <v>2.6152309058614601E-2</v>
      </c>
      <c r="L23" s="17">
        <v>32062.730905861503</v>
      </c>
      <c r="M23" s="18" t="s">
        <v>26</v>
      </c>
      <c r="N23" s="11" t="s">
        <v>84</v>
      </c>
      <c r="O23" s="19" t="s">
        <v>27</v>
      </c>
      <c r="P23" t="s">
        <v>301</v>
      </c>
    </row>
    <row r="24" spans="1:16" x14ac:dyDescent="0.35">
      <c r="A24" s="5" t="s">
        <v>86</v>
      </c>
      <c r="B24" s="13" t="s">
        <v>87</v>
      </c>
      <c r="C24" s="13" t="s">
        <v>314</v>
      </c>
      <c r="D24" s="13"/>
      <c r="E24" s="13"/>
      <c r="F24" s="13" t="s">
        <v>88</v>
      </c>
      <c r="G24" s="13" t="s">
        <v>20</v>
      </c>
      <c r="H24" s="14">
        <v>46056</v>
      </c>
      <c r="I24" s="14">
        <v>46064</v>
      </c>
      <c r="J24" s="46">
        <v>1500000</v>
      </c>
      <c r="K24" s="16">
        <v>1.125E-2</v>
      </c>
      <c r="L24" s="17">
        <v>16875</v>
      </c>
      <c r="M24" s="18" t="s">
        <v>26</v>
      </c>
      <c r="N24" s="11" t="s">
        <v>88</v>
      </c>
      <c r="O24" s="19" t="s">
        <v>41</v>
      </c>
      <c r="P24" t="s">
        <v>299</v>
      </c>
    </row>
    <row r="25" spans="1:16" x14ac:dyDescent="0.35">
      <c r="A25" s="5" t="s">
        <v>89</v>
      </c>
      <c r="B25" s="13" t="s">
        <v>90</v>
      </c>
      <c r="C25" s="13" t="s">
        <v>336</v>
      </c>
      <c r="D25" s="13" t="s">
        <v>335</v>
      </c>
      <c r="E25" s="13"/>
      <c r="F25" s="13" t="s">
        <v>91</v>
      </c>
      <c r="G25" s="13" t="s">
        <v>31</v>
      </c>
      <c r="H25" s="14">
        <v>46056</v>
      </c>
      <c r="I25" s="14">
        <v>46064</v>
      </c>
      <c r="J25" s="46">
        <v>1190000</v>
      </c>
      <c r="K25" s="16">
        <v>0.02</v>
      </c>
      <c r="L25" s="17">
        <v>23800</v>
      </c>
      <c r="M25" s="18" t="s">
        <v>21</v>
      </c>
      <c r="N25" s="11" t="s">
        <v>91</v>
      </c>
      <c r="O25" s="19" t="s">
        <v>21</v>
      </c>
      <c r="P25" t="s">
        <v>301</v>
      </c>
    </row>
    <row r="26" spans="1:16" x14ac:dyDescent="0.35">
      <c r="A26" s="5" t="s">
        <v>92</v>
      </c>
      <c r="B26" s="13" t="s">
        <v>93</v>
      </c>
      <c r="C26" s="13" t="s">
        <v>312</v>
      </c>
      <c r="D26" s="13"/>
      <c r="E26" s="13"/>
      <c r="F26" s="13" t="s">
        <v>94</v>
      </c>
      <c r="G26" s="13" t="s">
        <v>25</v>
      </c>
      <c r="H26" s="14">
        <v>46055</v>
      </c>
      <c r="I26" s="14">
        <v>46063</v>
      </c>
      <c r="J26" s="46">
        <v>572000</v>
      </c>
      <c r="K26" s="16">
        <v>2.5000000000000001E-2</v>
      </c>
      <c r="L26" s="17">
        <v>14300</v>
      </c>
      <c r="M26" s="18" t="s">
        <v>26</v>
      </c>
      <c r="N26" s="11" t="s">
        <v>94</v>
      </c>
      <c r="O26" s="19" t="s">
        <v>41</v>
      </c>
      <c r="P26" t="s">
        <v>299</v>
      </c>
    </row>
    <row r="27" spans="1:16" x14ac:dyDescent="0.35">
      <c r="A27" s="5" t="s">
        <v>95</v>
      </c>
      <c r="B27" s="13" t="s">
        <v>96</v>
      </c>
      <c r="C27" s="13" t="s">
        <v>335</v>
      </c>
      <c r="D27" s="13"/>
      <c r="E27" s="13"/>
      <c r="F27" s="13" t="s">
        <v>97</v>
      </c>
      <c r="G27" s="13" t="s">
        <v>20</v>
      </c>
      <c r="H27" s="14">
        <v>46058</v>
      </c>
      <c r="I27" s="14">
        <v>46064</v>
      </c>
      <c r="J27" s="46">
        <v>300000</v>
      </c>
      <c r="K27" s="16">
        <v>0.02</v>
      </c>
      <c r="L27" s="17">
        <v>6000</v>
      </c>
      <c r="M27" s="18" t="s">
        <v>21</v>
      </c>
      <c r="N27" s="11" t="s">
        <v>97</v>
      </c>
      <c r="O27" s="19" t="s">
        <v>21</v>
      </c>
      <c r="P27" t="s">
        <v>303</v>
      </c>
    </row>
    <row r="28" spans="1:16" x14ac:dyDescent="0.35">
      <c r="A28" s="5" t="s">
        <v>98</v>
      </c>
      <c r="B28" s="13" t="s">
        <v>29</v>
      </c>
      <c r="C28" s="13" t="s">
        <v>316</v>
      </c>
      <c r="D28" s="13" t="s">
        <v>318</v>
      </c>
      <c r="E28" s="13" t="s">
        <v>319</v>
      </c>
      <c r="F28" s="13" t="s">
        <v>99</v>
      </c>
      <c r="G28" s="13" t="s">
        <v>31</v>
      </c>
      <c r="H28" s="14">
        <v>46066</v>
      </c>
      <c r="I28" s="14">
        <v>46076</v>
      </c>
      <c r="J28" s="46">
        <v>1190000</v>
      </c>
      <c r="K28" s="16">
        <v>2.5000000000000001E-2</v>
      </c>
      <c r="L28" s="17">
        <v>29750</v>
      </c>
      <c r="M28" s="18" t="s">
        <v>26</v>
      </c>
      <c r="N28" s="11" t="s">
        <v>99</v>
      </c>
      <c r="O28" s="19" t="s">
        <v>27</v>
      </c>
      <c r="P28" t="s">
        <v>301</v>
      </c>
    </row>
    <row r="29" spans="1:16" x14ac:dyDescent="0.35">
      <c r="A29" s="5" t="s">
        <v>100</v>
      </c>
      <c r="B29" s="13" t="s">
        <v>83</v>
      </c>
      <c r="C29" s="13" t="s">
        <v>332</v>
      </c>
      <c r="D29" s="13" t="s">
        <v>333</v>
      </c>
      <c r="E29" s="13" t="s">
        <v>334</v>
      </c>
      <c r="F29" s="13" t="s">
        <v>101</v>
      </c>
      <c r="G29" s="13" t="s">
        <v>15</v>
      </c>
      <c r="H29" s="14">
        <v>46066</v>
      </c>
      <c r="I29" s="14">
        <v>46076</v>
      </c>
      <c r="J29" s="46">
        <v>814000</v>
      </c>
      <c r="K29" s="16">
        <v>2.5000000000000001E-2</v>
      </c>
      <c r="L29" s="17">
        <v>20350</v>
      </c>
      <c r="M29" s="18" t="s">
        <v>26</v>
      </c>
      <c r="N29" s="11" t="s">
        <v>101</v>
      </c>
      <c r="O29" s="19" t="s">
        <v>27</v>
      </c>
      <c r="P29" t="s">
        <v>301</v>
      </c>
    </row>
    <row r="30" spans="1:16" x14ac:dyDescent="0.35">
      <c r="A30" s="20" t="s">
        <v>102</v>
      </c>
      <c r="B30" s="22" t="s">
        <v>103</v>
      </c>
      <c r="C30" s="22" t="s">
        <v>335</v>
      </c>
      <c r="D30" s="22" t="s">
        <v>337</v>
      </c>
      <c r="E30" s="22"/>
      <c r="F30" s="22" t="s">
        <v>104</v>
      </c>
      <c r="G30" s="22" t="s">
        <v>20</v>
      </c>
      <c r="H30" s="23">
        <v>46066</v>
      </c>
      <c r="I30" s="23">
        <v>46076</v>
      </c>
      <c r="J30" s="47">
        <v>600000</v>
      </c>
      <c r="K30" s="24">
        <v>2.1999999999999999E-2</v>
      </c>
      <c r="L30" s="25">
        <v>13200</v>
      </c>
      <c r="M30" s="26" t="s">
        <v>21</v>
      </c>
      <c r="N30" s="27" t="s">
        <v>104</v>
      </c>
      <c r="O30" s="28" t="s">
        <v>21</v>
      </c>
      <c r="P30" t="s">
        <v>303</v>
      </c>
    </row>
    <row r="31" spans="1:16" x14ac:dyDescent="0.35">
      <c r="A31" s="5" t="s">
        <v>105</v>
      </c>
      <c r="B31" s="13" t="s">
        <v>106</v>
      </c>
      <c r="C31" s="13" t="s">
        <v>328</v>
      </c>
      <c r="D31" s="13"/>
      <c r="E31" s="13"/>
      <c r="F31" s="13" t="s">
        <v>107</v>
      </c>
      <c r="G31" s="13" t="s">
        <v>31</v>
      </c>
      <c r="H31" s="14">
        <v>46066</v>
      </c>
      <c r="I31" s="14">
        <v>46079</v>
      </c>
      <c r="J31" s="46">
        <v>500000</v>
      </c>
      <c r="K31" s="16">
        <v>0.01</v>
      </c>
      <c r="L31" s="17">
        <v>5000</v>
      </c>
      <c r="M31" s="18" t="s">
        <v>26</v>
      </c>
      <c r="N31" s="11" t="s">
        <v>107</v>
      </c>
      <c r="O31" s="19" t="s">
        <v>27</v>
      </c>
      <c r="P31" t="s">
        <v>300</v>
      </c>
    </row>
    <row r="32" spans="1:16" x14ac:dyDescent="0.35">
      <c r="A32" s="5" t="s">
        <v>108</v>
      </c>
      <c r="B32" s="13" t="s">
        <v>109</v>
      </c>
      <c r="C32" s="13" t="s">
        <v>335</v>
      </c>
      <c r="D32" s="13"/>
      <c r="E32" s="13"/>
      <c r="F32" s="13" t="s">
        <v>110</v>
      </c>
      <c r="G32" s="13" t="s">
        <v>15</v>
      </c>
      <c r="H32" s="14">
        <v>46073</v>
      </c>
      <c r="I32" s="14">
        <v>46080</v>
      </c>
      <c r="J32" s="46">
        <v>100000</v>
      </c>
      <c r="K32" s="16">
        <v>0.02</v>
      </c>
      <c r="L32" s="17">
        <v>2000</v>
      </c>
      <c r="M32" s="18" t="s">
        <v>21</v>
      </c>
      <c r="N32" s="11" t="s">
        <v>110</v>
      </c>
      <c r="O32" s="19" t="s">
        <v>21</v>
      </c>
      <c r="P32" t="s">
        <v>303</v>
      </c>
    </row>
    <row r="33" spans="1:16" x14ac:dyDescent="0.35">
      <c r="A33" s="5" t="s">
        <v>111</v>
      </c>
      <c r="B33" s="13" t="s">
        <v>112</v>
      </c>
      <c r="C33" s="13" t="s">
        <v>311</v>
      </c>
      <c r="D33" s="13"/>
      <c r="E33" s="13"/>
      <c r="F33" s="13" t="s">
        <v>113</v>
      </c>
      <c r="G33" s="13" t="s">
        <v>15</v>
      </c>
      <c r="H33" s="14">
        <v>46079</v>
      </c>
      <c r="I33" s="14">
        <v>46098</v>
      </c>
      <c r="J33" s="46">
        <v>1410000</v>
      </c>
      <c r="K33" s="16">
        <v>3.5000000000000003E-2</v>
      </c>
      <c r="L33" s="17">
        <v>49350.000000000007</v>
      </c>
      <c r="M33" s="18" t="s">
        <v>26</v>
      </c>
      <c r="N33" s="11" t="s">
        <v>113</v>
      </c>
      <c r="O33" s="19" t="s">
        <v>41</v>
      </c>
      <c r="P33" t="s">
        <v>298</v>
      </c>
    </row>
    <row r="34" spans="1:16" x14ac:dyDescent="0.35">
      <c r="A34" s="5" t="s">
        <v>114</v>
      </c>
      <c r="B34" s="13" t="s">
        <v>115</v>
      </c>
      <c r="C34" s="13" t="s">
        <v>338</v>
      </c>
      <c r="D34" s="13" t="s">
        <v>325</v>
      </c>
      <c r="E34" s="13" t="s">
        <v>339</v>
      </c>
      <c r="F34" s="13" t="s">
        <v>116</v>
      </c>
      <c r="G34" s="13" t="s">
        <v>15</v>
      </c>
      <c r="H34" s="14">
        <v>46079</v>
      </c>
      <c r="I34" s="14">
        <v>46087</v>
      </c>
      <c r="J34" s="46">
        <v>100000</v>
      </c>
      <c r="K34" s="16">
        <v>0.02</v>
      </c>
      <c r="L34" s="17">
        <v>2000</v>
      </c>
      <c r="M34" s="18" t="s">
        <v>26</v>
      </c>
      <c r="N34" s="11" t="s">
        <v>116</v>
      </c>
      <c r="O34" s="19" t="s">
        <v>27</v>
      </c>
      <c r="P34" t="s">
        <v>301</v>
      </c>
    </row>
    <row r="35" spans="1:16" x14ac:dyDescent="0.35">
      <c r="A35" s="5" t="s">
        <v>117</v>
      </c>
      <c r="B35" s="13" t="s">
        <v>118</v>
      </c>
      <c r="C35" s="13" t="s">
        <v>315</v>
      </c>
      <c r="D35" s="13"/>
      <c r="E35" s="13"/>
      <c r="F35" s="13" t="s">
        <v>119</v>
      </c>
      <c r="G35" s="13" t="s">
        <v>20</v>
      </c>
      <c r="H35" s="14">
        <v>46083</v>
      </c>
      <c r="I35" s="14">
        <v>46091</v>
      </c>
      <c r="J35" s="46">
        <v>1170000</v>
      </c>
      <c r="K35" s="16">
        <v>3.5000000000000003E-2</v>
      </c>
      <c r="L35" s="17">
        <v>40950.000000000007</v>
      </c>
      <c r="M35" s="18" t="s">
        <v>26</v>
      </c>
      <c r="N35" s="11" t="s">
        <v>119</v>
      </c>
      <c r="O35" s="19" t="s">
        <v>41</v>
      </c>
      <c r="P35" t="s">
        <v>300</v>
      </c>
    </row>
    <row r="36" spans="1:16" x14ac:dyDescent="0.35">
      <c r="A36" s="5" t="s">
        <v>120</v>
      </c>
      <c r="B36" s="13" t="s">
        <v>121</v>
      </c>
      <c r="C36" s="13" t="s">
        <v>335</v>
      </c>
      <c r="D36" s="13" t="s">
        <v>337</v>
      </c>
      <c r="E36" s="13"/>
      <c r="F36" s="13" t="s">
        <v>122</v>
      </c>
      <c r="G36" s="13" t="s">
        <v>31</v>
      </c>
      <c r="H36" s="14">
        <v>46083</v>
      </c>
      <c r="I36" s="14">
        <v>46090</v>
      </c>
      <c r="J36" s="46">
        <v>250000</v>
      </c>
      <c r="K36" s="16">
        <v>2.5000000000000001E-2</v>
      </c>
      <c r="L36" s="17">
        <v>6250</v>
      </c>
      <c r="M36" s="18" t="s">
        <v>26</v>
      </c>
      <c r="N36" s="11" t="s">
        <v>122</v>
      </c>
      <c r="O36" s="19" t="s">
        <v>27</v>
      </c>
      <c r="P36" t="s">
        <v>303</v>
      </c>
    </row>
    <row r="37" spans="1:16" x14ac:dyDescent="0.35">
      <c r="A37" s="5" t="s">
        <v>123</v>
      </c>
      <c r="B37" s="13" t="s">
        <v>124</v>
      </c>
      <c r="C37" s="13" t="s">
        <v>336</v>
      </c>
      <c r="D37" s="13"/>
      <c r="E37" s="13"/>
      <c r="F37" s="13" t="s">
        <v>125</v>
      </c>
      <c r="G37" s="13" t="s">
        <v>20</v>
      </c>
      <c r="H37" s="14">
        <v>46087</v>
      </c>
      <c r="I37" s="14">
        <v>46098</v>
      </c>
      <c r="J37" s="46">
        <v>1357000</v>
      </c>
      <c r="K37" s="16">
        <v>0.02</v>
      </c>
      <c r="L37" s="17">
        <v>27140</v>
      </c>
      <c r="M37" s="18" t="s">
        <v>21</v>
      </c>
      <c r="N37" s="11" t="s">
        <v>125</v>
      </c>
      <c r="O37" s="19" t="s">
        <v>21</v>
      </c>
      <c r="P37" t="s">
        <v>301</v>
      </c>
    </row>
    <row r="38" spans="1:16" x14ac:dyDescent="0.35">
      <c r="A38" s="5" t="s">
        <v>126</v>
      </c>
      <c r="B38" s="13" t="s">
        <v>127</v>
      </c>
      <c r="C38" s="13" t="s">
        <v>335</v>
      </c>
      <c r="D38" s="13"/>
      <c r="E38" s="13"/>
      <c r="F38" s="13" t="s">
        <v>128</v>
      </c>
      <c r="G38" s="13" t="s">
        <v>20</v>
      </c>
      <c r="H38" s="14">
        <v>46105</v>
      </c>
      <c r="I38" s="14">
        <v>46112</v>
      </c>
      <c r="J38" s="46">
        <v>250000</v>
      </c>
      <c r="K38" s="16">
        <v>0.02</v>
      </c>
      <c r="L38" s="17">
        <v>5000</v>
      </c>
      <c r="M38" s="18" t="s">
        <v>21</v>
      </c>
      <c r="N38" s="11" t="s">
        <v>128</v>
      </c>
      <c r="O38" s="19" t="s">
        <v>21</v>
      </c>
      <c r="P38" t="s">
        <v>303</v>
      </c>
    </row>
    <row r="39" spans="1:16" x14ac:dyDescent="0.35">
      <c r="A39" s="5" t="s">
        <v>129</v>
      </c>
      <c r="B39" s="13" t="s">
        <v>130</v>
      </c>
      <c r="C39" s="13" t="s">
        <v>335</v>
      </c>
      <c r="D39" s="13"/>
      <c r="E39" s="13"/>
      <c r="F39" s="13" t="s">
        <v>131</v>
      </c>
      <c r="G39" s="13" t="s">
        <v>20</v>
      </c>
      <c r="H39" s="14">
        <v>46106</v>
      </c>
      <c r="I39" s="14">
        <v>46113</v>
      </c>
      <c r="J39" s="46">
        <v>500000</v>
      </c>
      <c r="K39" s="16">
        <v>2.6499999999999968E-2</v>
      </c>
      <c r="L39" s="17">
        <v>13249.999999999984</v>
      </c>
      <c r="M39" s="18" t="s">
        <v>21</v>
      </c>
      <c r="N39" s="11" t="s">
        <v>131</v>
      </c>
      <c r="O39" s="19" t="s">
        <v>21</v>
      </c>
      <c r="P39" t="s">
        <v>303</v>
      </c>
    </row>
    <row r="40" spans="1:16" x14ac:dyDescent="0.35">
      <c r="A40" s="5" t="s">
        <v>132</v>
      </c>
      <c r="B40" s="13" t="s">
        <v>133</v>
      </c>
      <c r="C40" s="13" t="s">
        <v>336</v>
      </c>
      <c r="D40" s="13"/>
      <c r="E40" s="13"/>
      <c r="F40" s="13" t="s">
        <v>134</v>
      </c>
      <c r="G40" s="13" t="s">
        <v>15</v>
      </c>
      <c r="H40" s="14">
        <v>46111</v>
      </c>
      <c r="I40" s="14">
        <v>46115</v>
      </c>
      <c r="J40" s="46">
        <v>1000000</v>
      </c>
      <c r="K40" s="16">
        <v>1.0999999999999999E-2</v>
      </c>
      <c r="L40" s="17">
        <v>11000</v>
      </c>
      <c r="M40" s="18" t="s">
        <v>21</v>
      </c>
      <c r="N40" s="11" t="s">
        <v>134</v>
      </c>
      <c r="O40" s="19" t="s">
        <v>21</v>
      </c>
      <c r="P40" t="s">
        <v>301</v>
      </c>
    </row>
    <row r="41" spans="1:16" x14ac:dyDescent="0.35">
      <c r="A41" s="5" t="s">
        <v>135</v>
      </c>
      <c r="B41" s="13" t="s">
        <v>136</v>
      </c>
      <c r="C41" s="13" t="s">
        <v>336</v>
      </c>
      <c r="D41" s="13"/>
      <c r="E41" s="13"/>
      <c r="F41" s="13" t="s">
        <v>137</v>
      </c>
      <c r="G41" s="13" t="s">
        <v>20</v>
      </c>
      <c r="H41" s="14">
        <v>46113</v>
      </c>
      <c r="I41" s="14">
        <v>46120</v>
      </c>
      <c r="J41" s="46">
        <v>1000000</v>
      </c>
      <c r="K41" s="16">
        <v>5.0000000000000001E-3</v>
      </c>
      <c r="L41" s="17">
        <v>5000</v>
      </c>
      <c r="M41" s="18" t="s">
        <v>26</v>
      </c>
      <c r="N41" s="11" t="s">
        <v>137</v>
      </c>
      <c r="O41" s="19" t="s">
        <v>27</v>
      </c>
      <c r="P41" t="s">
        <v>301</v>
      </c>
    </row>
    <row r="42" spans="1:16" x14ac:dyDescent="0.35">
      <c r="A42" s="5" t="s">
        <v>138</v>
      </c>
      <c r="B42" s="13" t="s">
        <v>136</v>
      </c>
      <c r="C42" s="13" t="s">
        <v>336</v>
      </c>
      <c r="D42" s="13"/>
      <c r="E42" s="13"/>
      <c r="F42" s="13" t="s">
        <v>139</v>
      </c>
      <c r="G42" s="13" t="s">
        <v>20</v>
      </c>
      <c r="H42" s="14">
        <v>46114</v>
      </c>
      <c r="I42" s="14">
        <v>46122</v>
      </c>
      <c r="J42" s="46">
        <v>1000000</v>
      </c>
      <c r="K42" s="16">
        <v>5.0000000000000001E-3</v>
      </c>
      <c r="L42" s="17">
        <v>5000</v>
      </c>
      <c r="M42" s="18" t="s">
        <v>26</v>
      </c>
      <c r="N42" s="11" t="s">
        <v>139</v>
      </c>
      <c r="O42" s="19" t="s">
        <v>27</v>
      </c>
      <c r="P42" t="s">
        <v>301</v>
      </c>
    </row>
    <row r="43" spans="1:16" x14ac:dyDescent="0.35">
      <c r="A43" s="5" t="s">
        <v>140</v>
      </c>
      <c r="B43" s="13" t="s">
        <v>141</v>
      </c>
      <c r="C43" s="13" t="s">
        <v>85</v>
      </c>
      <c r="D43" s="13"/>
      <c r="E43" s="13"/>
      <c r="F43" s="13" t="s">
        <v>142</v>
      </c>
      <c r="G43" s="13" t="s">
        <v>15</v>
      </c>
      <c r="H43" s="14">
        <v>46121</v>
      </c>
      <c r="I43" s="14">
        <v>46135</v>
      </c>
      <c r="J43" s="46">
        <v>750000</v>
      </c>
      <c r="K43" s="16">
        <v>2.5000000000000001E-2</v>
      </c>
      <c r="L43" s="17">
        <v>18750</v>
      </c>
      <c r="M43" s="18" t="s">
        <v>26</v>
      </c>
      <c r="N43" s="11" t="s">
        <v>142</v>
      </c>
      <c r="O43" s="19" t="s">
        <v>41</v>
      </c>
      <c r="P43" t="s">
        <v>298</v>
      </c>
    </row>
    <row r="44" spans="1:16" x14ac:dyDescent="0.35">
      <c r="A44" s="5" t="s">
        <v>143</v>
      </c>
      <c r="B44" s="13" t="s">
        <v>144</v>
      </c>
      <c r="C44" s="13" t="s">
        <v>85</v>
      </c>
      <c r="D44" s="13"/>
      <c r="E44" s="13"/>
      <c r="F44" s="13" t="s">
        <v>145</v>
      </c>
      <c r="G44" s="13" t="s">
        <v>15</v>
      </c>
      <c r="H44" s="14">
        <v>46122</v>
      </c>
      <c r="I44" s="14">
        <v>46139</v>
      </c>
      <c r="J44" s="46">
        <v>1987000</v>
      </c>
      <c r="K44" s="16">
        <v>3.5000000000000003E-2</v>
      </c>
      <c r="L44" s="17">
        <v>72695</v>
      </c>
      <c r="M44" s="18" t="s">
        <v>26</v>
      </c>
      <c r="N44" s="11" t="s">
        <v>145</v>
      </c>
      <c r="O44" s="19" t="s">
        <v>41</v>
      </c>
      <c r="P44" t="s">
        <v>298</v>
      </c>
    </row>
    <row r="45" spans="1:16" x14ac:dyDescent="0.35">
      <c r="A45" s="5" t="s">
        <v>146</v>
      </c>
      <c r="B45" s="13" t="s">
        <v>130</v>
      </c>
      <c r="C45" s="13" t="s">
        <v>335</v>
      </c>
      <c r="D45" s="13"/>
      <c r="E45" s="13"/>
      <c r="F45" s="13" t="s">
        <v>147</v>
      </c>
      <c r="G45" s="13" t="s">
        <v>20</v>
      </c>
      <c r="H45" s="14">
        <v>46125</v>
      </c>
      <c r="I45" s="14">
        <v>46132</v>
      </c>
      <c r="J45" s="46">
        <v>359000</v>
      </c>
      <c r="K45" s="16">
        <v>0.02</v>
      </c>
      <c r="L45" s="17">
        <v>7180</v>
      </c>
      <c r="M45" s="18" t="s">
        <v>21</v>
      </c>
      <c r="N45" s="11" t="s">
        <v>147</v>
      </c>
      <c r="O45" s="19" t="s">
        <v>21</v>
      </c>
      <c r="P45" t="s">
        <v>303</v>
      </c>
    </row>
    <row r="46" spans="1:16" x14ac:dyDescent="0.35">
      <c r="A46" s="5" t="s">
        <v>148</v>
      </c>
      <c r="B46" s="13" t="s">
        <v>149</v>
      </c>
      <c r="C46" s="13" t="s">
        <v>342</v>
      </c>
      <c r="D46" s="13"/>
      <c r="E46" s="13"/>
      <c r="F46" s="13" t="s">
        <v>150</v>
      </c>
      <c r="G46" s="13" t="s">
        <v>15</v>
      </c>
      <c r="H46" s="14">
        <v>46126</v>
      </c>
      <c r="I46" s="14">
        <v>46133</v>
      </c>
      <c r="J46" s="46">
        <v>200000</v>
      </c>
      <c r="K46" s="16">
        <v>0.02</v>
      </c>
      <c r="L46" s="17">
        <v>4000</v>
      </c>
      <c r="M46" s="18" t="s">
        <v>26</v>
      </c>
      <c r="N46" s="11" t="s">
        <v>150</v>
      </c>
      <c r="O46" s="19" t="s">
        <v>41</v>
      </c>
      <c r="P46" t="s">
        <v>303</v>
      </c>
    </row>
    <row r="47" spans="1:16" x14ac:dyDescent="0.35">
      <c r="A47" s="5" t="s">
        <v>151</v>
      </c>
      <c r="B47" s="13" t="s">
        <v>152</v>
      </c>
      <c r="C47" s="13" t="s">
        <v>314</v>
      </c>
      <c r="D47" s="13"/>
      <c r="E47" s="13"/>
      <c r="F47" s="13" t="s">
        <v>153</v>
      </c>
      <c r="G47" s="13" t="s">
        <v>25</v>
      </c>
      <c r="H47" s="14">
        <v>46126</v>
      </c>
      <c r="I47" s="14">
        <v>46135</v>
      </c>
      <c r="J47" s="46">
        <v>900000</v>
      </c>
      <c r="K47" s="16">
        <v>2.5000000000000001E-2</v>
      </c>
      <c r="L47" s="17">
        <v>22500</v>
      </c>
      <c r="M47" s="18" t="s">
        <v>26</v>
      </c>
      <c r="N47" s="11" t="s">
        <v>153</v>
      </c>
      <c r="O47" s="19" t="s">
        <v>41</v>
      </c>
      <c r="P47" t="s">
        <v>299</v>
      </c>
    </row>
    <row r="48" spans="1:16" x14ac:dyDescent="0.35">
      <c r="A48" s="5" t="s">
        <v>154</v>
      </c>
      <c r="B48" s="13" t="s">
        <v>144</v>
      </c>
      <c r="C48" s="13" t="s">
        <v>85</v>
      </c>
      <c r="D48" s="13"/>
      <c r="E48" s="13"/>
      <c r="F48" s="13" t="s">
        <v>155</v>
      </c>
      <c r="G48" s="13" t="s">
        <v>15</v>
      </c>
      <c r="H48" s="14">
        <v>46129</v>
      </c>
      <c r="I48" s="14">
        <v>46142</v>
      </c>
      <c r="J48" s="46">
        <v>2695000</v>
      </c>
      <c r="K48" s="16">
        <v>3.5000000000000003E-2</v>
      </c>
      <c r="L48" s="17">
        <v>94325.000000000015</v>
      </c>
      <c r="M48" s="18" t="s">
        <v>26</v>
      </c>
      <c r="N48" s="11" t="s">
        <v>155</v>
      </c>
      <c r="O48" s="19" t="s">
        <v>41</v>
      </c>
      <c r="P48" t="s">
        <v>298</v>
      </c>
    </row>
    <row r="49" spans="1:16" x14ac:dyDescent="0.35">
      <c r="A49" s="5" t="s">
        <v>156</v>
      </c>
      <c r="B49" s="13" t="s">
        <v>157</v>
      </c>
      <c r="C49" s="13" t="s">
        <v>336</v>
      </c>
      <c r="D49" s="13" t="s">
        <v>340</v>
      </c>
      <c r="E49" s="13" t="s">
        <v>343</v>
      </c>
      <c r="F49" s="13" t="s">
        <v>158</v>
      </c>
      <c r="G49" s="13" t="s">
        <v>20</v>
      </c>
      <c r="H49" s="14">
        <v>46128</v>
      </c>
      <c r="I49" s="14">
        <v>46134</v>
      </c>
      <c r="J49" s="46">
        <v>750000</v>
      </c>
      <c r="K49" s="16">
        <v>0.02</v>
      </c>
      <c r="L49" s="17">
        <v>15000</v>
      </c>
      <c r="M49" s="18" t="s">
        <v>26</v>
      </c>
      <c r="N49" s="11" t="s">
        <v>158</v>
      </c>
      <c r="O49" s="19" t="s">
        <v>27</v>
      </c>
      <c r="P49" t="s">
        <v>301</v>
      </c>
    </row>
    <row r="50" spans="1:16" x14ac:dyDescent="0.35">
      <c r="A50" s="5" t="s">
        <v>159</v>
      </c>
      <c r="B50" s="13" t="s">
        <v>160</v>
      </c>
      <c r="C50" s="13" t="s">
        <v>85</v>
      </c>
      <c r="D50" s="13"/>
      <c r="E50" s="13"/>
      <c r="F50" s="13" t="s">
        <v>161</v>
      </c>
      <c r="G50" s="13" t="s">
        <v>15</v>
      </c>
      <c r="H50" s="14">
        <v>46133</v>
      </c>
      <c r="I50" s="14">
        <v>46147</v>
      </c>
      <c r="J50" s="46">
        <v>3000000</v>
      </c>
      <c r="K50" s="16">
        <v>3.5000000000000003E-2</v>
      </c>
      <c r="L50" s="17">
        <v>105000.00000000001</v>
      </c>
      <c r="M50" s="18" t="s">
        <v>26</v>
      </c>
      <c r="N50" s="11" t="s">
        <v>161</v>
      </c>
      <c r="O50" s="19" t="s">
        <v>41</v>
      </c>
      <c r="P50" t="s">
        <v>298</v>
      </c>
    </row>
    <row r="51" spans="1:16" x14ac:dyDescent="0.35">
      <c r="A51" s="5" t="s">
        <v>162</v>
      </c>
      <c r="B51" s="13" t="s">
        <v>163</v>
      </c>
      <c r="C51" s="13" t="s">
        <v>85</v>
      </c>
      <c r="D51" s="13"/>
      <c r="E51" s="13"/>
      <c r="F51" s="13" t="s">
        <v>164</v>
      </c>
      <c r="G51" s="13" t="s">
        <v>15</v>
      </c>
      <c r="H51" s="14">
        <v>46136</v>
      </c>
      <c r="I51" s="14"/>
      <c r="J51" s="46">
        <v>500000</v>
      </c>
      <c r="K51" s="16">
        <v>3.2999999999999918E-2</v>
      </c>
      <c r="L51" s="17">
        <v>16499.99999999996</v>
      </c>
      <c r="M51" s="18" t="s">
        <v>26</v>
      </c>
      <c r="N51" s="11" t="s">
        <v>164</v>
      </c>
      <c r="O51" s="19" t="s">
        <v>41</v>
      </c>
      <c r="P51" t="s">
        <v>298</v>
      </c>
    </row>
    <row r="52" spans="1:16" x14ac:dyDescent="0.35">
      <c r="A52" s="5" t="s">
        <v>165</v>
      </c>
      <c r="B52" s="13" t="s">
        <v>166</v>
      </c>
      <c r="C52" s="13" t="s">
        <v>336</v>
      </c>
      <c r="D52" s="13" t="s">
        <v>340</v>
      </c>
      <c r="E52" s="13"/>
      <c r="F52" s="13" t="s">
        <v>167</v>
      </c>
      <c r="G52" s="13" t="s">
        <v>20</v>
      </c>
      <c r="H52" s="14">
        <v>46136</v>
      </c>
      <c r="I52" s="14">
        <v>46143</v>
      </c>
      <c r="J52" s="46">
        <v>300000</v>
      </c>
      <c r="K52" s="16">
        <v>2.3499999999999965E-2</v>
      </c>
      <c r="L52" s="17">
        <v>7049.99999999999</v>
      </c>
      <c r="M52" s="18" t="s">
        <v>26</v>
      </c>
      <c r="N52" s="11" t="s">
        <v>167</v>
      </c>
      <c r="O52" s="19" t="s">
        <v>27</v>
      </c>
      <c r="P52" t="s">
        <v>301</v>
      </c>
    </row>
    <row r="53" spans="1:16" x14ac:dyDescent="0.35">
      <c r="A53" s="5" t="s">
        <v>168</v>
      </c>
      <c r="B53" s="13" t="s">
        <v>169</v>
      </c>
      <c r="C53" s="13" t="s">
        <v>336</v>
      </c>
      <c r="D53" s="13" t="s">
        <v>340</v>
      </c>
      <c r="E53" s="13" t="s">
        <v>343</v>
      </c>
      <c r="F53" s="13" t="s">
        <v>170</v>
      </c>
      <c r="G53" s="13" t="s">
        <v>20</v>
      </c>
      <c r="H53" s="14">
        <v>46136</v>
      </c>
      <c r="I53" s="14">
        <v>46143</v>
      </c>
      <c r="J53" s="46">
        <v>705000</v>
      </c>
      <c r="K53" s="16">
        <v>2.1000000000000001E-2</v>
      </c>
      <c r="L53" s="17">
        <v>17355</v>
      </c>
      <c r="M53" s="18" t="s">
        <v>26</v>
      </c>
      <c r="N53" s="11" t="s">
        <v>170</v>
      </c>
      <c r="O53" s="19" t="s">
        <v>27</v>
      </c>
      <c r="P53" t="s">
        <v>301</v>
      </c>
    </row>
    <row r="54" spans="1:16" x14ac:dyDescent="0.35">
      <c r="A54" s="5" t="s">
        <v>171</v>
      </c>
      <c r="B54" s="13" t="s">
        <v>172</v>
      </c>
      <c r="C54" s="13" t="s">
        <v>341</v>
      </c>
      <c r="D54" s="13"/>
      <c r="E54" s="13"/>
      <c r="F54" s="13" t="s">
        <v>173</v>
      </c>
      <c r="G54" s="13" t="s">
        <v>20</v>
      </c>
      <c r="H54" s="14">
        <v>46087</v>
      </c>
      <c r="I54" s="14">
        <v>46094</v>
      </c>
      <c r="J54" s="46">
        <v>250000</v>
      </c>
      <c r="K54" s="16">
        <v>5.0000000000000001E-3</v>
      </c>
      <c r="L54" s="17">
        <v>1250</v>
      </c>
      <c r="M54" s="18" t="s">
        <v>26</v>
      </c>
      <c r="N54" s="11" t="s">
        <v>173</v>
      </c>
      <c r="O54" s="19" t="s">
        <v>27</v>
      </c>
      <c r="P54" t="s">
        <v>302</v>
      </c>
    </row>
    <row r="55" spans="1:16" x14ac:dyDescent="0.35">
      <c r="A55" s="5" t="s">
        <v>174</v>
      </c>
      <c r="B55" s="13" t="s">
        <v>163</v>
      </c>
      <c r="C55" s="13" t="s">
        <v>85</v>
      </c>
      <c r="D55" s="13"/>
      <c r="E55" s="13"/>
      <c r="F55" s="13" t="s">
        <v>175</v>
      </c>
      <c r="G55" s="13" t="s">
        <v>15</v>
      </c>
      <c r="H55" s="14">
        <v>46141</v>
      </c>
      <c r="I55" s="14">
        <v>46157</v>
      </c>
      <c r="J55" s="46">
        <v>2759000</v>
      </c>
      <c r="K55" s="16">
        <v>3.5000000000000003E-2</v>
      </c>
      <c r="L55" s="17">
        <v>99565</v>
      </c>
      <c r="M55" s="18" t="s">
        <v>26</v>
      </c>
      <c r="N55" s="11" t="s">
        <v>175</v>
      </c>
      <c r="O55" s="19" t="s">
        <v>41</v>
      </c>
      <c r="P55" t="s">
        <v>298</v>
      </c>
    </row>
    <row r="56" spans="1:16" x14ac:dyDescent="0.35">
      <c r="A56" s="5" t="s">
        <v>176</v>
      </c>
      <c r="B56" s="13" t="s">
        <v>177</v>
      </c>
      <c r="C56" s="13" t="s">
        <v>338</v>
      </c>
      <c r="D56" s="13" t="s">
        <v>325</v>
      </c>
      <c r="E56" s="13" t="s">
        <v>344</v>
      </c>
      <c r="F56" s="13" t="s">
        <v>178</v>
      </c>
      <c r="G56" s="13" t="s">
        <v>85</v>
      </c>
      <c r="H56" s="14">
        <v>46141</v>
      </c>
      <c r="I56" s="14">
        <v>46146</v>
      </c>
      <c r="J56" s="46">
        <v>750000</v>
      </c>
      <c r="K56" s="16">
        <v>2.5000000000000001E-2</v>
      </c>
      <c r="L56" s="17">
        <v>18750</v>
      </c>
      <c r="M56" s="18" t="s">
        <v>26</v>
      </c>
      <c r="N56" s="11" t="s">
        <v>178</v>
      </c>
      <c r="O56" s="19" t="s">
        <v>27</v>
      </c>
      <c r="P56" t="s">
        <v>301</v>
      </c>
    </row>
    <row r="57" spans="1:16" x14ac:dyDescent="0.35">
      <c r="A57" s="5" t="s">
        <v>179</v>
      </c>
      <c r="B57" s="13" t="s">
        <v>180</v>
      </c>
      <c r="C57" s="13" t="s">
        <v>317</v>
      </c>
      <c r="D57" s="13"/>
      <c r="E57" s="13"/>
      <c r="F57" s="13" t="s">
        <v>181</v>
      </c>
      <c r="G57" s="13" t="s">
        <v>15</v>
      </c>
      <c r="H57" s="14">
        <v>46142</v>
      </c>
      <c r="I57" s="14">
        <v>46149</v>
      </c>
      <c r="J57" s="46">
        <v>600000</v>
      </c>
      <c r="K57" s="16">
        <v>2.200000000000002E-2</v>
      </c>
      <c r="L57" s="17">
        <v>13200.000000000011</v>
      </c>
      <c r="M57" s="18" t="s">
        <v>26</v>
      </c>
      <c r="N57" s="11" t="s">
        <v>181</v>
      </c>
      <c r="O57" s="19" t="s">
        <v>27</v>
      </c>
      <c r="P57" t="s">
        <v>301</v>
      </c>
    </row>
    <row r="58" spans="1:16" x14ac:dyDescent="0.35">
      <c r="A58" s="5" t="s">
        <v>182</v>
      </c>
      <c r="B58" s="13" t="s">
        <v>183</v>
      </c>
      <c r="C58" s="13" t="s">
        <v>318</v>
      </c>
      <c r="D58" s="13"/>
      <c r="E58" s="13"/>
      <c r="F58" s="13" t="s">
        <v>184</v>
      </c>
      <c r="G58" s="13" t="s">
        <v>15</v>
      </c>
      <c r="H58" s="14">
        <v>46142</v>
      </c>
      <c r="I58" s="14">
        <v>46149</v>
      </c>
      <c r="J58" s="46">
        <v>240000</v>
      </c>
      <c r="K58" s="16">
        <v>0.02</v>
      </c>
      <c r="L58" s="17">
        <v>4800</v>
      </c>
      <c r="M58" s="18" t="s">
        <v>26</v>
      </c>
      <c r="N58" s="11" t="s">
        <v>184</v>
      </c>
      <c r="O58" s="19" t="s">
        <v>27</v>
      </c>
      <c r="P58" t="s">
        <v>301</v>
      </c>
    </row>
    <row r="59" spans="1:16" x14ac:dyDescent="0.35">
      <c r="A59" s="5" t="s">
        <v>185</v>
      </c>
      <c r="B59" s="13" t="s">
        <v>186</v>
      </c>
      <c r="C59" s="13" t="s">
        <v>345</v>
      </c>
      <c r="D59" s="13"/>
      <c r="E59" s="13"/>
      <c r="F59" s="13" t="s">
        <v>187</v>
      </c>
      <c r="G59" s="13" t="s">
        <v>15</v>
      </c>
      <c r="H59" s="14">
        <v>46142</v>
      </c>
      <c r="I59" s="14">
        <v>46149</v>
      </c>
      <c r="J59" s="46">
        <v>600000</v>
      </c>
      <c r="K59" s="16">
        <v>2.5499999999999967E-2</v>
      </c>
      <c r="L59" s="17">
        <v>15299.99999999998</v>
      </c>
      <c r="M59" s="18" t="s">
        <v>26</v>
      </c>
      <c r="N59" s="11" t="s">
        <v>187</v>
      </c>
      <c r="O59" s="19" t="s">
        <v>27</v>
      </c>
      <c r="P59" t="s">
        <v>301</v>
      </c>
    </row>
    <row r="60" spans="1:16" x14ac:dyDescent="0.35">
      <c r="A60" s="5" t="s">
        <v>188</v>
      </c>
      <c r="B60" s="13" t="s">
        <v>189</v>
      </c>
      <c r="C60" s="13" t="s">
        <v>338</v>
      </c>
      <c r="D60" s="13" t="s">
        <v>325</v>
      </c>
      <c r="E60" s="13" t="s">
        <v>344</v>
      </c>
      <c r="F60" s="13" t="s">
        <v>190</v>
      </c>
      <c r="G60" s="13" t="s">
        <v>85</v>
      </c>
      <c r="H60" s="14">
        <v>46142</v>
      </c>
      <c r="I60" s="14">
        <v>46149</v>
      </c>
      <c r="J60" s="46">
        <v>847000</v>
      </c>
      <c r="K60" s="16">
        <v>2.7000000000000024E-2</v>
      </c>
      <c r="L60" s="17">
        <v>21090.6</v>
      </c>
      <c r="M60" s="18" t="s">
        <v>26</v>
      </c>
      <c r="N60" s="11" t="s">
        <v>190</v>
      </c>
      <c r="O60" s="19" t="s">
        <v>27</v>
      </c>
      <c r="P60" t="s">
        <v>301</v>
      </c>
    </row>
    <row r="61" spans="1:16" x14ac:dyDescent="0.35">
      <c r="A61" s="5" t="s">
        <v>191</v>
      </c>
      <c r="B61" s="13" t="s">
        <v>192</v>
      </c>
      <c r="C61" s="13" t="s">
        <v>346</v>
      </c>
      <c r="D61" s="13"/>
      <c r="E61" s="13"/>
      <c r="F61" s="13" t="s">
        <v>193</v>
      </c>
      <c r="G61" s="13" t="s">
        <v>20</v>
      </c>
      <c r="H61" s="14">
        <v>46142</v>
      </c>
      <c r="I61" s="14">
        <v>46149</v>
      </c>
      <c r="J61" s="46">
        <v>600000</v>
      </c>
      <c r="K61" s="16">
        <v>2.300000000000002E-2</v>
      </c>
      <c r="L61" s="17">
        <v>13800.000000000013</v>
      </c>
      <c r="M61" s="18" t="s">
        <v>26</v>
      </c>
      <c r="N61" s="11" t="s">
        <v>193</v>
      </c>
      <c r="O61" s="19" t="s">
        <v>27</v>
      </c>
      <c r="P61" t="s">
        <v>301</v>
      </c>
    </row>
    <row r="62" spans="1:16" x14ac:dyDescent="0.35">
      <c r="A62" s="5" t="s">
        <v>194</v>
      </c>
      <c r="B62" s="13" t="s">
        <v>195</v>
      </c>
      <c r="C62" s="13" t="s">
        <v>347</v>
      </c>
      <c r="D62" s="13"/>
      <c r="E62" s="13"/>
      <c r="F62" s="13" t="s">
        <v>196</v>
      </c>
      <c r="G62" s="13" t="s">
        <v>20</v>
      </c>
      <c r="H62" s="14">
        <v>46142</v>
      </c>
      <c r="I62" s="14">
        <v>46149</v>
      </c>
      <c r="J62" s="46">
        <v>600000</v>
      </c>
      <c r="K62" s="16">
        <v>2.300000000000002E-2</v>
      </c>
      <c r="L62" s="17">
        <v>13800.000000000013</v>
      </c>
      <c r="M62" s="18" t="s">
        <v>26</v>
      </c>
      <c r="N62" s="11" t="s">
        <v>196</v>
      </c>
      <c r="O62" s="19" t="s">
        <v>27</v>
      </c>
      <c r="P62" t="s">
        <v>301</v>
      </c>
    </row>
    <row r="63" spans="1:16" x14ac:dyDescent="0.35">
      <c r="A63" s="5" t="s">
        <v>197</v>
      </c>
      <c r="B63" s="13" t="s">
        <v>198</v>
      </c>
      <c r="C63" s="13" t="s">
        <v>348</v>
      </c>
      <c r="D63" s="13"/>
      <c r="E63" s="13"/>
      <c r="F63" s="13" t="s">
        <v>199</v>
      </c>
      <c r="G63" s="13" t="s">
        <v>20</v>
      </c>
      <c r="H63" s="14">
        <v>46142</v>
      </c>
      <c r="I63" s="14">
        <v>46149</v>
      </c>
      <c r="J63" s="46">
        <v>600000</v>
      </c>
      <c r="K63" s="16">
        <v>2.1299999999999986E-2</v>
      </c>
      <c r="L63" s="17">
        <v>12779.999999999991</v>
      </c>
      <c r="M63" s="18" t="s">
        <v>26</v>
      </c>
      <c r="N63" s="11" t="s">
        <v>199</v>
      </c>
      <c r="O63" s="19" t="s">
        <v>27</v>
      </c>
      <c r="P63" t="s">
        <v>301</v>
      </c>
    </row>
    <row r="64" spans="1:16" x14ac:dyDescent="0.35">
      <c r="A64" s="5" t="s">
        <v>200</v>
      </c>
      <c r="B64" s="13" t="s">
        <v>201</v>
      </c>
      <c r="C64" s="13" t="s">
        <v>335</v>
      </c>
      <c r="D64" s="13" t="s">
        <v>337</v>
      </c>
      <c r="E64" s="13"/>
      <c r="F64" s="13" t="s">
        <v>202</v>
      </c>
      <c r="G64" s="13" t="s">
        <v>20</v>
      </c>
      <c r="H64" s="14">
        <v>46142</v>
      </c>
      <c r="I64" s="14">
        <v>46149</v>
      </c>
      <c r="J64" s="46">
        <v>600000</v>
      </c>
      <c r="K64" s="16">
        <v>2.7499999999999969E-2</v>
      </c>
      <c r="L64" s="17">
        <v>16499.999999999982</v>
      </c>
      <c r="M64" s="18" t="s">
        <v>26</v>
      </c>
      <c r="N64" s="11" t="s">
        <v>202</v>
      </c>
      <c r="O64" s="19" t="s">
        <v>27</v>
      </c>
      <c r="P64" t="s">
        <v>301</v>
      </c>
    </row>
    <row r="65" spans="1:16" x14ac:dyDescent="0.35">
      <c r="A65" s="5" t="s">
        <v>203</v>
      </c>
      <c r="B65" s="13" t="s">
        <v>204</v>
      </c>
      <c r="C65" s="13" t="s">
        <v>349</v>
      </c>
      <c r="D65" s="13" t="s">
        <v>350</v>
      </c>
      <c r="E65" s="13"/>
      <c r="F65" s="13" t="s">
        <v>205</v>
      </c>
      <c r="G65" s="13" t="s">
        <v>20</v>
      </c>
      <c r="H65" s="14">
        <v>46142</v>
      </c>
      <c r="I65" s="14">
        <v>46149</v>
      </c>
      <c r="J65" s="46">
        <v>600000</v>
      </c>
      <c r="K65" s="16">
        <v>2.4000000000000021E-2</v>
      </c>
      <c r="L65" s="17">
        <v>14400.000000000013</v>
      </c>
      <c r="M65" s="18" t="s">
        <v>26</v>
      </c>
      <c r="N65" s="11" t="s">
        <v>205</v>
      </c>
      <c r="O65" s="19" t="s">
        <v>27</v>
      </c>
      <c r="P65" t="s">
        <v>301</v>
      </c>
    </row>
    <row r="66" spans="1:16" x14ac:dyDescent="0.35">
      <c r="A66" s="5" t="s">
        <v>206</v>
      </c>
      <c r="B66" s="13" t="s">
        <v>207</v>
      </c>
      <c r="C66" s="13" t="s">
        <v>320</v>
      </c>
      <c r="D66" s="13" t="s">
        <v>351</v>
      </c>
      <c r="E66" s="13"/>
      <c r="F66" s="13" t="s">
        <v>208</v>
      </c>
      <c r="G66" s="13" t="s">
        <v>31</v>
      </c>
      <c r="H66" s="14">
        <v>46142</v>
      </c>
      <c r="I66" s="14">
        <v>46149</v>
      </c>
      <c r="J66" s="46">
        <v>600000</v>
      </c>
      <c r="K66" s="16">
        <v>2.090000000000003E-2</v>
      </c>
      <c r="L66" s="17">
        <v>12540.000000000018</v>
      </c>
      <c r="M66" s="18" t="s">
        <v>26</v>
      </c>
      <c r="N66" s="11" t="s">
        <v>208</v>
      </c>
      <c r="O66" s="19" t="s">
        <v>27</v>
      </c>
      <c r="P66" t="s">
        <v>301</v>
      </c>
    </row>
    <row r="67" spans="1:16" x14ac:dyDescent="0.35">
      <c r="A67" s="5" t="s">
        <v>209</v>
      </c>
      <c r="B67" s="13" t="s">
        <v>210</v>
      </c>
      <c r="C67" s="13" t="s">
        <v>332</v>
      </c>
      <c r="D67" s="13" t="s">
        <v>333</v>
      </c>
      <c r="E67" s="13" t="s">
        <v>334</v>
      </c>
      <c r="F67" s="13" t="s">
        <v>211</v>
      </c>
      <c r="G67" s="13" t="s">
        <v>85</v>
      </c>
      <c r="H67" s="14">
        <v>46146</v>
      </c>
      <c r="I67" s="14">
        <v>46153</v>
      </c>
      <c r="J67" s="46">
        <v>850000</v>
      </c>
      <c r="K67" s="16">
        <v>2.35E-2</v>
      </c>
      <c r="L67" s="17">
        <v>19975</v>
      </c>
      <c r="M67" s="18" t="s">
        <v>26</v>
      </c>
      <c r="N67" s="11" t="s">
        <v>211</v>
      </c>
      <c r="O67" s="19" t="s">
        <v>27</v>
      </c>
      <c r="P67" t="s">
        <v>301</v>
      </c>
    </row>
    <row r="68" spans="1:16" x14ac:dyDescent="0.35">
      <c r="A68" s="5" t="s">
        <v>212</v>
      </c>
      <c r="B68" s="13" t="s">
        <v>210</v>
      </c>
      <c r="C68" s="13" t="s">
        <v>332</v>
      </c>
      <c r="D68" s="13" t="s">
        <v>333</v>
      </c>
      <c r="E68" s="13" t="s">
        <v>334</v>
      </c>
      <c r="F68" s="13" t="s">
        <v>213</v>
      </c>
      <c r="G68" s="13" t="s">
        <v>15</v>
      </c>
      <c r="H68" s="14">
        <v>46148</v>
      </c>
      <c r="I68" s="14">
        <v>46155</v>
      </c>
      <c r="J68" s="46">
        <v>500000</v>
      </c>
      <c r="K68" s="16">
        <v>0.02</v>
      </c>
      <c r="L68" s="17">
        <v>10000</v>
      </c>
      <c r="M68" s="18" t="s">
        <v>26</v>
      </c>
      <c r="N68" s="11" t="s">
        <v>213</v>
      </c>
      <c r="O68" s="19" t="s">
        <v>27</v>
      </c>
      <c r="P68" t="s">
        <v>301</v>
      </c>
    </row>
    <row r="69" spans="1:16" x14ac:dyDescent="0.35">
      <c r="A69" s="5" t="s">
        <v>214</v>
      </c>
      <c r="B69" s="13" t="s">
        <v>215</v>
      </c>
      <c r="C69" s="13" t="s">
        <v>343</v>
      </c>
      <c r="D69" s="13"/>
      <c r="E69" s="13"/>
      <c r="F69" s="13" t="s">
        <v>216</v>
      </c>
      <c r="G69" s="13" t="s">
        <v>31</v>
      </c>
      <c r="H69" s="14">
        <v>46149</v>
      </c>
      <c r="I69" s="14">
        <v>46156</v>
      </c>
      <c r="J69" s="46">
        <v>500000</v>
      </c>
      <c r="K69" s="16">
        <v>2.5000000000000022E-2</v>
      </c>
      <c r="L69" s="17">
        <v>12500.000000000011</v>
      </c>
      <c r="M69" s="18" t="s">
        <v>26</v>
      </c>
      <c r="N69" s="11" t="s">
        <v>216</v>
      </c>
      <c r="O69" s="19" t="s">
        <v>27</v>
      </c>
      <c r="P69" t="s">
        <v>301</v>
      </c>
    </row>
    <row r="70" spans="1:16" x14ac:dyDescent="0.35">
      <c r="A70" s="5" t="s">
        <v>217</v>
      </c>
      <c r="B70" s="13" t="s">
        <v>218</v>
      </c>
      <c r="C70" s="13" t="s">
        <v>353</v>
      </c>
      <c r="D70" s="13"/>
      <c r="E70" s="13"/>
      <c r="F70" s="13" t="s">
        <v>219</v>
      </c>
      <c r="G70" s="13" t="s">
        <v>31</v>
      </c>
      <c r="H70" s="14">
        <v>46149</v>
      </c>
      <c r="I70" s="14">
        <v>46156</v>
      </c>
      <c r="J70" s="46">
        <v>600000</v>
      </c>
      <c r="K70" s="16">
        <v>2.4000000000000021E-2</v>
      </c>
      <c r="L70" s="17">
        <v>14400.000000000013</v>
      </c>
      <c r="M70" s="18" t="s">
        <v>26</v>
      </c>
      <c r="N70" s="11" t="s">
        <v>219</v>
      </c>
      <c r="O70" s="19" t="s">
        <v>27</v>
      </c>
      <c r="P70" t="s">
        <v>301</v>
      </c>
    </row>
    <row r="71" spans="1:16" x14ac:dyDescent="0.35">
      <c r="A71" s="5" t="s">
        <v>220</v>
      </c>
      <c r="B71" s="13" t="s">
        <v>221</v>
      </c>
      <c r="C71" s="13" t="s">
        <v>352</v>
      </c>
      <c r="D71" s="13"/>
      <c r="E71" s="13"/>
      <c r="F71" s="13" t="s">
        <v>222</v>
      </c>
      <c r="G71" s="13" t="s">
        <v>20</v>
      </c>
      <c r="H71" s="14">
        <v>46149</v>
      </c>
      <c r="I71" s="14">
        <v>46156</v>
      </c>
      <c r="J71" s="46">
        <v>500000</v>
      </c>
      <c r="K71" s="16">
        <v>2.3499999999999965E-2</v>
      </c>
      <c r="L71" s="17">
        <v>11749.999999999982</v>
      </c>
      <c r="M71" s="18" t="s">
        <v>26</v>
      </c>
      <c r="N71" s="11" t="s">
        <v>222</v>
      </c>
      <c r="O71" s="19" t="s">
        <v>27</v>
      </c>
      <c r="P71" t="s">
        <v>302</v>
      </c>
    </row>
    <row r="72" spans="1:16" x14ac:dyDescent="0.35">
      <c r="A72" s="5" t="s">
        <v>223</v>
      </c>
      <c r="B72" s="13" t="s">
        <v>224</v>
      </c>
      <c r="C72" s="13" t="s">
        <v>354</v>
      </c>
      <c r="D72" s="13"/>
      <c r="E72" s="13"/>
      <c r="F72" s="13" t="s">
        <v>225</v>
      </c>
      <c r="G72" s="13" t="s">
        <v>31</v>
      </c>
      <c r="H72" s="14">
        <v>46149</v>
      </c>
      <c r="I72" s="14">
        <v>46156</v>
      </c>
      <c r="J72" s="46">
        <v>600000</v>
      </c>
      <c r="K72" s="16">
        <v>2.2499999999999964E-2</v>
      </c>
      <c r="L72" s="17">
        <v>13499.999999999978</v>
      </c>
      <c r="M72" s="18" t="s">
        <v>26</v>
      </c>
      <c r="N72" s="11" t="s">
        <v>225</v>
      </c>
      <c r="O72" s="19" t="s">
        <v>27</v>
      </c>
      <c r="P72" t="s">
        <v>301</v>
      </c>
    </row>
    <row r="73" spans="1:16" x14ac:dyDescent="0.35">
      <c r="A73" s="5" t="s">
        <v>226</v>
      </c>
      <c r="B73" s="13" t="s">
        <v>227</v>
      </c>
      <c r="C73" s="13" t="s">
        <v>349</v>
      </c>
      <c r="D73" s="13" t="s">
        <v>350</v>
      </c>
      <c r="E73" s="13"/>
      <c r="F73" s="13" t="s">
        <v>228</v>
      </c>
      <c r="G73" s="13" t="s">
        <v>31</v>
      </c>
      <c r="H73" s="14">
        <v>46149</v>
      </c>
      <c r="I73" s="14">
        <v>46156</v>
      </c>
      <c r="J73" s="46">
        <v>250000</v>
      </c>
      <c r="K73" s="16">
        <v>2.5000000000000022E-2</v>
      </c>
      <c r="L73" s="17">
        <v>6250.0000000000055</v>
      </c>
      <c r="M73" s="18" t="s">
        <v>26</v>
      </c>
      <c r="N73" s="11" t="s">
        <v>228</v>
      </c>
      <c r="O73" s="19" t="s">
        <v>27</v>
      </c>
      <c r="P73" t="s">
        <v>301</v>
      </c>
    </row>
    <row r="74" spans="1:16" x14ac:dyDescent="0.35">
      <c r="A74" s="5" t="s">
        <v>229</v>
      </c>
      <c r="B74" s="13" t="s">
        <v>230</v>
      </c>
      <c r="C74" s="13" t="s">
        <v>338</v>
      </c>
      <c r="D74" s="13" t="s">
        <v>325</v>
      </c>
      <c r="E74" s="13"/>
      <c r="F74" s="13" t="s">
        <v>231</v>
      </c>
      <c r="G74" s="13" t="s">
        <v>15</v>
      </c>
      <c r="H74" s="14">
        <v>46149</v>
      </c>
      <c r="I74" s="14">
        <v>46156</v>
      </c>
      <c r="J74" s="46">
        <v>430000</v>
      </c>
      <c r="K74" s="16">
        <v>2.2499999999999964E-2</v>
      </c>
      <c r="L74" s="17">
        <v>9674.9999999999854</v>
      </c>
      <c r="M74" s="18" t="s">
        <v>26</v>
      </c>
      <c r="N74" s="11" t="s">
        <v>231</v>
      </c>
      <c r="O74" s="19" t="s">
        <v>27</v>
      </c>
      <c r="P74" t="s">
        <v>301</v>
      </c>
    </row>
    <row r="75" spans="1:16" x14ac:dyDescent="0.35">
      <c r="A75" s="5" t="s">
        <v>232</v>
      </c>
      <c r="B75" s="13" t="s">
        <v>233</v>
      </c>
      <c r="C75" s="13" t="s">
        <v>316</v>
      </c>
      <c r="D75" s="13" t="s">
        <v>318</v>
      </c>
      <c r="E75" s="13" t="s">
        <v>319</v>
      </c>
      <c r="F75" s="13" t="s">
        <v>234</v>
      </c>
      <c r="G75" s="13" t="s">
        <v>31</v>
      </c>
      <c r="H75" s="14">
        <v>46149</v>
      </c>
      <c r="I75" s="14">
        <v>46156</v>
      </c>
      <c r="J75" s="46">
        <v>500000</v>
      </c>
      <c r="K75" s="16">
        <v>2.2499999999999964E-2</v>
      </c>
      <c r="L75" s="17">
        <v>11249.999999999982</v>
      </c>
      <c r="M75" s="18" t="s">
        <v>26</v>
      </c>
      <c r="N75" s="11" t="s">
        <v>234</v>
      </c>
      <c r="O75" s="19" t="s">
        <v>27</v>
      </c>
      <c r="P75" t="s">
        <v>301</v>
      </c>
    </row>
    <row r="76" spans="1:16" x14ac:dyDescent="0.35">
      <c r="A76" s="5" t="s">
        <v>235</v>
      </c>
      <c r="B76" s="13" t="s">
        <v>236</v>
      </c>
      <c r="C76" s="13" t="s">
        <v>355</v>
      </c>
      <c r="D76" s="13" t="s">
        <v>356</v>
      </c>
      <c r="E76" s="13" t="s">
        <v>357</v>
      </c>
      <c r="F76" s="13" t="s">
        <v>237</v>
      </c>
      <c r="G76" s="13" t="s">
        <v>31</v>
      </c>
      <c r="H76" s="14">
        <v>46149</v>
      </c>
      <c r="I76" s="14">
        <v>46156</v>
      </c>
      <c r="J76" s="46">
        <v>600000</v>
      </c>
      <c r="K76" s="16">
        <v>2.200000000000002E-2</v>
      </c>
      <c r="L76" s="17">
        <v>13200</v>
      </c>
      <c r="M76" s="18" t="s">
        <v>21</v>
      </c>
      <c r="N76" s="11" t="s">
        <v>237</v>
      </c>
      <c r="O76" s="19" t="s">
        <v>21</v>
      </c>
      <c r="P76" t="s">
        <v>301</v>
      </c>
    </row>
    <row r="77" spans="1:16" x14ac:dyDescent="0.35">
      <c r="A77" s="5" t="s">
        <v>238</v>
      </c>
      <c r="B77" s="13" t="s">
        <v>239</v>
      </c>
      <c r="C77" s="13" t="s">
        <v>325</v>
      </c>
      <c r="D77" s="13" t="s">
        <v>326</v>
      </c>
      <c r="E77" s="13" t="s">
        <v>324</v>
      </c>
      <c r="F77" s="13" t="s">
        <v>240</v>
      </c>
      <c r="G77" s="13" t="s">
        <v>85</v>
      </c>
      <c r="H77" s="14">
        <v>46149</v>
      </c>
      <c r="I77" s="14">
        <v>46156</v>
      </c>
      <c r="J77" s="46">
        <v>700000</v>
      </c>
      <c r="K77" s="16">
        <v>2.4000000000000021E-2</v>
      </c>
      <c r="L77" s="17">
        <v>16600</v>
      </c>
      <c r="M77" s="18" t="s">
        <v>26</v>
      </c>
      <c r="N77" s="11" t="s">
        <v>240</v>
      </c>
      <c r="O77" s="19" t="s">
        <v>27</v>
      </c>
      <c r="P77" t="s">
        <v>301</v>
      </c>
    </row>
    <row r="78" spans="1:16" x14ac:dyDescent="0.35">
      <c r="A78" s="5" t="s">
        <v>241</v>
      </c>
      <c r="B78" s="13" t="s">
        <v>242</v>
      </c>
      <c r="C78" s="13" t="s">
        <v>85</v>
      </c>
      <c r="D78" s="13"/>
      <c r="E78" s="13"/>
      <c r="F78" s="13" t="s">
        <v>243</v>
      </c>
      <c r="G78" s="13" t="s">
        <v>15</v>
      </c>
      <c r="H78" s="14">
        <v>46149</v>
      </c>
      <c r="I78" s="14">
        <v>46159</v>
      </c>
      <c r="J78" s="46">
        <v>2074000</v>
      </c>
      <c r="K78" s="16">
        <v>0.03</v>
      </c>
      <c r="L78" s="17">
        <v>62220</v>
      </c>
      <c r="M78" s="18" t="s">
        <v>26</v>
      </c>
      <c r="N78" s="11" t="s">
        <v>243</v>
      </c>
      <c r="O78" s="19" t="s">
        <v>41</v>
      </c>
      <c r="P78" t="s">
        <v>298</v>
      </c>
    </row>
    <row r="79" spans="1:16" x14ac:dyDescent="0.35">
      <c r="A79" s="5" t="s">
        <v>244</v>
      </c>
      <c r="B79" s="13" t="s">
        <v>245</v>
      </c>
      <c r="C79" s="13" t="s">
        <v>358</v>
      </c>
      <c r="D79" s="13"/>
      <c r="E79" s="13"/>
      <c r="F79" s="13" t="s">
        <v>246</v>
      </c>
      <c r="G79" s="13" t="s">
        <v>31</v>
      </c>
      <c r="H79" s="14">
        <v>46150</v>
      </c>
      <c r="I79" s="14">
        <v>46160</v>
      </c>
      <c r="J79" s="46">
        <v>847000</v>
      </c>
      <c r="K79" s="16">
        <v>0.03</v>
      </c>
      <c r="L79" s="17">
        <v>25410</v>
      </c>
      <c r="M79" s="18" t="s">
        <v>26</v>
      </c>
      <c r="N79" s="11" t="s">
        <v>246</v>
      </c>
      <c r="O79" s="19" t="s">
        <v>41</v>
      </c>
      <c r="P79" t="s">
        <v>298</v>
      </c>
    </row>
    <row r="80" spans="1:16" x14ac:dyDescent="0.35">
      <c r="A80" s="5" t="s">
        <v>247</v>
      </c>
      <c r="B80" s="13" t="s">
        <v>248</v>
      </c>
      <c r="C80" s="13" t="s">
        <v>328</v>
      </c>
      <c r="D80" s="13"/>
      <c r="E80" s="13"/>
      <c r="F80" s="13" t="s">
        <v>249</v>
      </c>
      <c r="G80" s="13" t="s">
        <v>31</v>
      </c>
      <c r="H80" s="14">
        <v>46153</v>
      </c>
      <c r="I80" s="14"/>
      <c r="J80" s="46">
        <v>1000000</v>
      </c>
      <c r="K80" s="16">
        <v>3.7999999999999999E-2</v>
      </c>
      <c r="L80" s="17">
        <v>38000</v>
      </c>
      <c r="M80" s="18" t="s">
        <v>26</v>
      </c>
      <c r="N80" s="11" t="s">
        <v>249</v>
      </c>
      <c r="O80" s="19" t="s">
        <v>27</v>
      </c>
      <c r="P80" t="s">
        <v>300</v>
      </c>
    </row>
    <row r="81" spans="1:16" x14ac:dyDescent="0.35">
      <c r="A81" s="5" t="s">
        <v>250</v>
      </c>
      <c r="B81" s="13" t="s">
        <v>251</v>
      </c>
      <c r="C81" s="13" t="s">
        <v>313</v>
      </c>
      <c r="D81" s="13"/>
      <c r="E81" s="13"/>
      <c r="F81" s="13" t="s">
        <v>252</v>
      </c>
      <c r="G81" s="13" t="s">
        <v>31</v>
      </c>
      <c r="H81" s="14">
        <v>46153</v>
      </c>
      <c r="I81" s="14"/>
      <c r="J81" s="46">
        <v>1000000</v>
      </c>
      <c r="K81" s="16">
        <v>2.9000000000000001E-2</v>
      </c>
      <c r="L81" s="17">
        <v>29000</v>
      </c>
      <c r="M81" s="18" t="s">
        <v>26</v>
      </c>
      <c r="N81" s="11" t="s">
        <v>252</v>
      </c>
      <c r="O81" s="19" t="s">
        <v>27</v>
      </c>
      <c r="P81" t="s">
        <v>299</v>
      </c>
    </row>
    <row r="82" spans="1:16" x14ac:dyDescent="0.35">
      <c r="A82" s="5" t="s">
        <v>253</v>
      </c>
      <c r="B82" s="13" t="s">
        <v>254</v>
      </c>
      <c r="C82" s="13" t="s">
        <v>358</v>
      </c>
      <c r="D82" s="13"/>
      <c r="E82" s="13"/>
      <c r="F82" s="13" t="s">
        <v>255</v>
      </c>
      <c r="G82" s="13" t="s">
        <v>31</v>
      </c>
      <c r="H82" s="14">
        <v>46156</v>
      </c>
      <c r="I82" s="14">
        <v>46163</v>
      </c>
      <c r="J82" s="46">
        <v>325000</v>
      </c>
      <c r="K82" s="16">
        <v>0.03</v>
      </c>
      <c r="L82" s="17">
        <v>9750</v>
      </c>
      <c r="M82" s="18" t="s">
        <v>26</v>
      </c>
      <c r="N82" s="11" t="s">
        <v>255</v>
      </c>
      <c r="O82" s="19" t="s">
        <v>41</v>
      </c>
      <c r="P82" t="s">
        <v>298</v>
      </c>
    </row>
    <row r="83" spans="1:16" x14ac:dyDescent="0.35">
      <c r="A83" s="5" t="s">
        <v>256</v>
      </c>
      <c r="B83" s="13" t="s">
        <v>257</v>
      </c>
      <c r="C83" s="13" t="s">
        <v>359</v>
      </c>
      <c r="D83" s="13"/>
      <c r="E83" s="13"/>
      <c r="F83" s="13" t="s">
        <v>258</v>
      </c>
      <c r="G83" s="13" t="s">
        <v>31</v>
      </c>
      <c r="H83" s="14">
        <v>46156</v>
      </c>
      <c r="I83" s="14">
        <v>46163</v>
      </c>
      <c r="J83" s="46">
        <v>325000</v>
      </c>
      <c r="K83" s="16">
        <v>0.03</v>
      </c>
      <c r="L83" s="17">
        <v>9750</v>
      </c>
      <c r="M83" s="18" t="s">
        <v>26</v>
      </c>
      <c r="N83" s="11" t="s">
        <v>258</v>
      </c>
      <c r="O83" s="19" t="s">
        <v>41</v>
      </c>
      <c r="P83" t="s">
        <v>298</v>
      </c>
    </row>
    <row r="84" spans="1:16" x14ac:dyDescent="0.35">
      <c r="A84" s="5" t="s">
        <v>259</v>
      </c>
      <c r="B84" s="13" t="s">
        <v>260</v>
      </c>
      <c r="C84" s="13" t="s">
        <v>360</v>
      </c>
      <c r="D84" s="13"/>
      <c r="E84" s="13"/>
      <c r="F84" s="13" t="s">
        <v>261</v>
      </c>
      <c r="G84" s="13" t="s">
        <v>31</v>
      </c>
      <c r="H84" s="14">
        <v>46156</v>
      </c>
      <c r="I84" s="14">
        <v>46163</v>
      </c>
      <c r="J84" s="46">
        <v>325000</v>
      </c>
      <c r="K84" s="16">
        <v>0.03</v>
      </c>
      <c r="L84" s="17">
        <v>9750</v>
      </c>
      <c r="M84" s="18" t="s">
        <v>26</v>
      </c>
      <c r="N84" s="11" t="s">
        <v>261</v>
      </c>
      <c r="O84" s="19" t="s">
        <v>41</v>
      </c>
      <c r="P84" t="s">
        <v>300</v>
      </c>
    </row>
    <row r="85" spans="1:16" x14ac:dyDescent="0.35">
      <c r="A85" s="5" t="s">
        <v>262</v>
      </c>
      <c r="B85" s="13" t="s">
        <v>263</v>
      </c>
      <c r="C85" s="13" t="s">
        <v>332</v>
      </c>
      <c r="D85" s="13"/>
      <c r="E85" s="13"/>
      <c r="F85" s="13" t="s">
        <v>264</v>
      </c>
      <c r="G85" s="13" t="s">
        <v>31</v>
      </c>
      <c r="H85" s="14">
        <v>46156</v>
      </c>
      <c r="I85" s="14">
        <v>46163</v>
      </c>
      <c r="J85" s="46">
        <v>325000</v>
      </c>
      <c r="K85" s="16">
        <v>0.03</v>
      </c>
      <c r="L85" s="17">
        <v>9750</v>
      </c>
      <c r="M85" s="18" t="s">
        <v>26</v>
      </c>
      <c r="N85" s="11" t="s">
        <v>264</v>
      </c>
      <c r="O85" s="19" t="s">
        <v>41</v>
      </c>
      <c r="P85" t="s">
        <v>300</v>
      </c>
    </row>
    <row r="86" spans="1:16" x14ac:dyDescent="0.35">
      <c r="A86" s="5" t="s">
        <v>265</v>
      </c>
      <c r="B86" s="13" t="s">
        <v>266</v>
      </c>
      <c r="C86" s="13" t="s">
        <v>337</v>
      </c>
      <c r="D86" s="13"/>
      <c r="E86" s="13"/>
      <c r="F86" s="13" t="s">
        <v>272</v>
      </c>
      <c r="G86" s="13" t="s">
        <v>20</v>
      </c>
      <c r="H86" s="14">
        <v>46157</v>
      </c>
      <c r="I86" s="14"/>
      <c r="J86" s="46">
        <v>250000</v>
      </c>
      <c r="K86" s="16">
        <v>3.2000000000000001E-2</v>
      </c>
      <c r="L86" s="17">
        <v>8000</v>
      </c>
      <c r="M86" s="18" t="s">
        <v>26</v>
      </c>
      <c r="N86" s="11" t="s">
        <v>272</v>
      </c>
      <c r="O86" s="19" t="s">
        <v>27</v>
      </c>
      <c r="P86" t="s">
        <v>303</v>
      </c>
    </row>
    <row r="87" spans="1:16" x14ac:dyDescent="0.35">
      <c r="A87" s="5" t="s">
        <v>267</v>
      </c>
      <c r="B87" s="13" t="s">
        <v>268</v>
      </c>
      <c r="C87" s="13" t="s">
        <v>316</v>
      </c>
      <c r="D87" s="13" t="s">
        <v>318</v>
      </c>
      <c r="E87" s="13" t="s">
        <v>319</v>
      </c>
      <c r="F87" s="13" t="s">
        <v>269</v>
      </c>
      <c r="G87" s="13" t="s">
        <v>31</v>
      </c>
      <c r="H87" s="14">
        <v>46157</v>
      </c>
      <c r="I87" s="14"/>
      <c r="J87" s="46">
        <v>1210000</v>
      </c>
      <c r="K87" s="16">
        <v>0.02</v>
      </c>
      <c r="L87" s="17">
        <v>24200</v>
      </c>
      <c r="M87" s="18" t="s">
        <v>26</v>
      </c>
      <c r="N87" s="11" t="s">
        <v>269</v>
      </c>
      <c r="O87" s="19" t="s">
        <v>41</v>
      </c>
      <c r="P87" t="s">
        <v>301</v>
      </c>
    </row>
    <row r="88" spans="1:16" x14ac:dyDescent="0.35">
      <c r="A88" s="5" t="s">
        <v>270</v>
      </c>
      <c r="B88" s="13" t="s">
        <v>210</v>
      </c>
      <c r="C88" s="13" t="s">
        <v>332</v>
      </c>
      <c r="D88" s="13" t="s">
        <v>333</v>
      </c>
      <c r="E88" s="13" t="s">
        <v>334</v>
      </c>
      <c r="F88" s="13" t="s">
        <v>271</v>
      </c>
      <c r="G88" s="13" t="s">
        <v>15</v>
      </c>
      <c r="H88" s="14">
        <v>46157</v>
      </c>
      <c r="I88" s="14">
        <v>46170</v>
      </c>
      <c r="J88" s="46">
        <v>150000</v>
      </c>
      <c r="K88" s="16">
        <v>0.02</v>
      </c>
      <c r="L88" s="17">
        <v>3000</v>
      </c>
      <c r="M88" s="18" t="s">
        <v>26</v>
      </c>
      <c r="N88" s="11" t="s">
        <v>271</v>
      </c>
      <c r="O88" s="19" t="s">
        <v>27</v>
      </c>
      <c r="P88" t="s">
        <v>301</v>
      </c>
    </row>
    <row r="89" spans="1:16" x14ac:dyDescent="0.35">
      <c r="A89" s="5" t="s">
        <v>273</v>
      </c>
      <c r="B89" s="13" t="s">
        <v>268</v>
      </c>
      <c r="C89" s="13" t="s">
        <v>316</v>
      </c>
      <c r="D89" s="13" t="s">
        <v>318</v>
      </c>
      <c r="E89" s="13" t="s">
        <v>319</v>
      </c>
      <c r="F89" s="13" t="s">
        <v>289</v>
      </c>
      <c r="G89" s="13" t="s">
        <v>15</v>
      </c>
      <c r="H89" s="14">
        <v>46163</v>
      </c>
      <c r="I89" s="14"/>
      <c r="J89" s="46">
        <v>250000</v>
      </c>
      <c r="K89" s="16">
        <v>1.4999999999999999E-2</v>
      </c>
      <c r="L89" s="17">
        <v>3750</v>
      </c>
      <c r="M89" s="18" t="s">
        <v>26</v>
      </c>
      <c r="N89" s="11" t="s">
        <v>289</v>
      </c>
      <c r="O89" s="19" t="s">
        <v>41</v>
      </c>
      <c r="P89" t="s">
        <v>301</v>
      </c>
    </row>
    <row r="90" spans="1:16" x14ac:dyDescent="0.35">
      <c r="A90" t="s">
        <v>274</v>
      </c>
      <c r="B90" t="s">
        <v>275</v>
      </c>
      <c r="C90" s="49" t="s">
        <v>340</v>
      </c>
      <c r="F90" t="s">
        <v>276</v>
      </c>
      <c r="G90" t="s">
        <v>20</v>
      </c>
      <c r="H90" s="29">
        <v>46171</v>
      </c>
      <c r="J90" s="30">
        <v>1590000</v>
      </c>
      <c r="K90" s="31">
        <v>2.5000000000000001E-2</v>
      </c>
      <c r="L90" s="30">
        <v>39750</v>
      </c>
      <c r="M90" t="s">
        <v>21</v>
      </c>
      <c r="N90" t="s">
        <v>276</v>
      </c>
      <c r="O90" s="33" t="s">
        <v>21</v>
      </c>
      <c r="P90" t="s">
        <v>301</v>
      </c>
    </row>
    <row r="91" spans="1:16" x14ac:dyDescent="0.35">
      <c r="A91" t="s">
        <v>277</v>
      </c>
      <c r="B91" t="s">
        <v>278</v>
      </c>
      <c r="C91" s="49" t="s">
        <v>349</v>
      </c>
      <c r="D91" s="49" t="s">
        <v>350</v>
      </c>
      <c r="F91" t="s">
        <v>279</v>
      </c>
      <c r="G91" t="s">
        <v>15</v>
      </c>
      <c r="H91" s="29">
        <v>46169</v>
      </c>
      <c r="J91" s="30">
        <v>250000</v>
      </c>
      <c r="K91" s="31">
        <v>1.5800000000000002E-2</v>
      </c>
      <c r="L91" s="30">
        <v>3950.0000000000005</v>
      </c>
      <c r="M91" t="s">
        <v>26</v>
      </c>
      <c r="N91" t="s">
        <v>279</v>
      </c>
      <c r="O91" s="33" t="s">
        <v>27</v>
      </c>
      <c r="P91" t="s">
        <v>301</v>
      </c>
    </row>
    <row r="92" spans="1:16" x14ac:dyDescent="0.35">
      <c r="A92" t="s">
        <v>280</v>
      </c>
      <c r="B92" t="s">
        <v>281</v>
      </c>
      <c r="C92" s="49" t="s">
        <v>338</v>
      </c>
      <c r="D92" s="49" t="s">
        <v>325</v>
      </c>
      <c r="F92" t="s">
        <v>282</v>
      </c>
      <c r="G92" t="s">
        <v>15</v>
      </c>
      <c r="H92" s="29">
        <v>46169</v>
      </c>
      <c r="J92" s="30">
        <v>250000</v>
      </c>
      <c r="K92" s="31">
        <v>1.84E-2</v>
      </c>
      <c r="L92" s="30">
        <v>4600</v>
      </c>
      <c r="M92" t="s">
        <v>26</v>
      </c>
      <c r="N92" t="s">
        <v>282</v>
      </c>
      <c r="O92" s="33" t="s">
        <v>27</v>
      </c>
      <c r="P92" t="s">
        <v>301</v>
      </c>
    </row>
    <row r="93" spans="1:16" x14ac:dyDescent="0.35">
      <c r="A93" t="s">
        <v>283</v>
      </c>
      <c r="B93" t="s">
        <v>284</v>
      </c>
      <c r="C93" s="49" t="s">
        <v>332</v>
      </c>
      <c r="D93" s="49" t="s">
        <v>333</v>
      </c>
      <c r="F93" t="s">
        <v>285</v>
      </c>
      <c r="G93" t="s">
        <v>15</v>
      </c>
      <c r="H93" s="29">
        <v>46169</v>
      </c>
      <c r="J93" s="30">
        <v>350000</v>
      </c>
      <c r="K93" s="31">
        <v>3.1699999999999999E-2</v>
      </c>
      <c r="L93" s="30">
        <v>11095</v>
      </c>
      <c r="M93" t="s">
        <v>26</v>
      </c>
      <c r="N93" t="s">
        <v>285</v>
      </c>
      <c r="O93" s="33" t="s">
        <v>27</v>
      </c>
      <c r="P93" t="s">
        <v>301</v>
      </c>
    </row>
    <row r="94" spans="1:16" x14ac:dyDescent="0.35">
      <c r="A94" t="s">
        <v>286</v>
      </c>
      <c r="B94" t="s">
        <v>287</v>
      </c>
      <c r="C94" s="49" t="s">
        <v>361</v>
      </c>
      <c r="D94" s="49" t="s">
        <v>362</v>
      </c>
      <c r="F94" t="s">
        <v>288</v>
      </c>
      <c r="G94" t="s">
        <v>15</v>
      </c>
      <c r="H94" s="29">
        <v>46169</v>
      </c>
      <c r="J94" s="30">
        <v>250000</v>
      </c>
      <c r="K94" s="31">
        <v>2.1000000000000001E-2</v>
      </c>
      <c r="L94" s="30">
        <v>5250</v>
      </c>
      <c r="M94" t="s">
        <v>26</v>
      </c>
      <c r="N94" t="s">
        <v>288</v>
      </c>
      <c r="O94" s="33" t="s">
        <v>27</v>
      </c>
      <c r="P94" t="s">
        <v>301</v>
      </c>
    </row>
    <row r="95" spans="1:16" x14ac:dyDescent="0.35">
      <c r="A95" t="s">
        <v>290</v>
      </c>
      <c r="B95" t="s">
        <v>291</v>
      </c>
      <c r="C95" s="49" t="s">
        <v>314</v>
      </c>
      <c r="G95" t="s">
        <v>25</v>
      </c>
      <c r="H95" s="29">
        <v>46171</v>
      </c>
      <c r="J95" s="30">
        <v>1851000</v>
      </c>
      <c r="K95" s="31">
        <v>2.3399999999999976E-2</v>
      </c>
      <c r="L95" s="30">
        <v>43313.399999999958</v>
      </c>
      <c r="M95" t="s">
        <v>26</v>
      </c>
      <c r="N95">
        <v>0</v>
      </c>
      <c r="O95" s="33" t="s">
        <v>27</v>
      </c>
      <c r="P95" t="s">
        <v>299</v>
      </c>
    </row>
    <row r="96" spans="1:16" x14ac:dyDescent="0.35">
      <c r="A96" t="s">
        <v>292</v>
      </c>
      <c r="B96" t="s">
        <v>293</v>
      </c>
      <c r="C96" s="49" t="s">
        <v>313</v>
      </c>
      <c r="G96" t="s">
        <v>25</v>
      </c>
      <c r="H96" s="29">
        <v>46171</v>
      </c>
      <c r="J96" s="30">
        <v>1731000</v>
      </c>
      <c r="K96" s="31">
        <v>2.1900000000000031E-2</v>
      </c>
      <c r="L96" s="30">
        <v>37908.900000000052</v>
      </c>
      <c r="M96" t="s">
        <v>26</v>
      </c>
      <c r="N96">
        <v>0</v>
      </c>
      <c r="O96" s="33" t="s">
        <v>27</v>
      </c>
      <c r="P96" t="s">
        <v>299</v>
      </c>
    </row>
    <row r="97" spans="1:16" x14ac:dyDescent="0.35">
      <c r="A97" s="5" t="s">
        <v>294</v>
      </c>
      <c r="B97" s="13" t="s">
        <v>295</v>
      </c>
      <c r="C97" s="13" t="s">
        <v>324</v>
      </c>
      <c r="D97" s="13" t="s">
        <v>363</v>
      </c>
      <c r="E97" s="13" t="s">
        <v>344</v>
      </c>
      <c r="F97" s="13"/>
      <c r="G97" s="13" t="s">
        <v>31</v>
      </c>
      <c r="H97" s="14">
        <v>46175</v>
      </c>
      <c r="I97" s="14"/>
      <c r="J97" s="46">
        <v>300000</v>
      </c>
      <c r="K97" s="16">
        <v>2.8199999999999999E-2</v>
      </c>
      <c r="L97" s="17">
        <f>K97*J97</f>
        <v>8460</v>
      </c>
      <c r="M97" s="18" t="s">
        <v>26</v>
      </c>
      <c r="N97" s="11">
        <f t="shared" ref="N97:N98" si="0">HYPERLINK(
  "https://bacfloridabank-my.sharepoint.com/personal/dguideli_bradescobank_com/Documents/SN/OK_2026/" &amp; F97 &amp; ".pdf",
  F97
)</f>
        <v>0</v>
      </c>
      <c r="O97" s="19" t="s">
        <v>27</v>
      </c>
      <c r="P97" t="s">
        <v>301</v>
      </c>
    </row>
    <row r="98" spans="1:16" x14ac:dyDescent="0.35">
      <c r="A98" s="5" t="s">
        <v>305</v>
      </c>
      <c r="B98" s="13" t="s">
        <v>306</v>
      </c>
      <c r="C98" s="13" t="s">
        <v>364</v>
      </c>
      <c r="D98" s="13"/>
      <c r="E98" s="13"/>
      <c r="F98" s="13"/>
      <c r="G98" s="13" t="s">
        <v>31</v>
      </c>
      <c r="H98" s="14">
        <v>46176</v>
      </c>
      <c r="I98" s="14"/>
      <c r="J98" s="46">
        <v>300000</v>
      </c>
      <c r="K98" s="16">
        <v>0.03</v>
      </c>
      <c r="L98" s="17">
        <f>K98*J98</f>
        <v>9000</v>
      </c>
      <c r="M98" s="18" t="s">
        <v>26</v>
      </c>
      <c r="N98" s="11">
        <f t="shared" si="0"/>
        <v>0</v>
      </c>
      <c r="O98" s="19" t="s">
        <v>41</v>
      </c>
      <c r="P98" t="s">
        <v>298</v>
      </c>
    </row>
    <row r="101" spans="1:16" x14ac:dyDescent="0.35">
      <c r="I101" s="29"/>
    </row>
    <row r="102" spans="1:16" x14ac:dyDescent="0.35">
      <c r="I102" s="29"/>
    </row>
    <row r="103" spans="1:16" x14ac:dyDescent="0.35">
      <c r="I103" s="29"/>
    </row>
  </sheetData>
  <autoFilter ref="A1:P98" xr:uid="{66D62202-7204-4F9C-BAE9-8AFC9F55925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Giuliano Mazoni</dc:creator>
  <cp:lastModifiedBy>Giuliano Mazoni</cp:lastModifiedBy>
  <dcterms:created xsi:type="dcterms:W3CDTF">2026-05-15T19:31:45Z</dcterms:created>
  <dcterms:modified xsi:type="dcterms:W3CDTF">2026-06-04T14:55:49Z</dcterms:modified>
</cp:coreProperties>
</file>